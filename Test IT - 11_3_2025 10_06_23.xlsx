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72a715b0f4a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5ebff8502f4f77ae7430f7114f8bd9.psmdcp" Id="R359773c8231941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9" i="1"/>
  <x:c r="C14" i="1"/>
  <x:c r="C19" i="1"/>
  <x:c r="C24" i="1"/>
  <x:c r="C29" i="1"/>
  <x:c r="C34" i="1"/>
  <x:c r="C39" i="1"/>
  <x:c r="C44" i="1"/>
  <x:c r="C49" i="1"/>
  <x:c r="C54" i="1"/>
  <x:c r="C59" i="1"/>
  <x:c r="C64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<x:sst xmlns:x="http://schemas.openxmlformats.org/spreadsheetml/2006/main">
  <x:si>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</x:si>
  <x:si>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</x:si>
  <x:si>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</x:si>
  <x:si>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</x:si>
  <x:si>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</x:si>
  <x:si>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</x:si>
  <x:si>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</x:si>
  <x:si>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</x:si>
  <x:si>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</x:si>
  <x:si>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</x:si>
  <x:si>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</x:si>
  <x:si>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</x:si>
  <x:si>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</x:si>
  <x:si>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</x:si>
  <x:si>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</x:si>
  <x:si>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</x:si>
  <x:si>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</x:si>
  <x:si>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350</x:t>
  </x:si>
  <x:si>
    <x:t>стажировка -&gt; kazan.technopark.ru</x:t>
  </x:si>
  <x:si>
    <x:t>Нет</x:t>
  </x:si>
  <x:si>
    <x:t/>
  </x:si>
  <x:si>
    <x:t>Средний</x:t>
  </x:si>
  <x:si>
    <x:t>Готов</x:t>
  </x:si>
  <x:si>
    <x:t>10/1/2025 15:59:10</x:t>
  </x:si>
  <x:si>
    <x:t>тимур гатауллин</x:t>
  </x:si>
  <x:si>
    <x:t>0h 0m 0s</x:t>
  </x:si>
  <x:si>
    <x:t>открыть сайт kazan.technopark.ru</x:t>
  </x:si>
  <x:si>
    <x:t>сайт открыт</x:t>
  </x:si>
  <x:si>
    <x:t>351</x:t>
  </x:si>
  <x:si>
    <x:t>10/1/2025 16:07:09</x:t>
  </x:si>
  <x:si>
    <x:t>0h 3m 0s</x:t>
  </x:si>
  <x:si>
    <x:t>кликнуть в строке поиска</x:t>
  </x:si>
  <x:si>
    <x:t>открывается большая модалка со строкой поиска и дополнительными модулями</x:t>
  </x:si>
  <x:si>
    <x:t>набрать в строке поиска наименование точно имеющегося в каталоге товара. Например, Sony PlayStation 5</x:t>
  </x:si>
  <x:si>
    <x:t>в модальном окне отображаются карточки товара по запросу</x:t>
  </x:si>
  <x:si>
    <x:t>нажать “Найти”/ Enter</x:t>
  </x:si>
  <x:si>
    <x:t>открывается страница с карточками товара по запросу</x:t>
  </x:si>
  <x:si>
    <x:t>352</x:t>
  </x:si>
  <x:si>
    <x:t>10/1/2025 16:11:01</x:t>
  </x:si>
  <x:si>
    <x:t>набрать в строке поиска наименование точно имеющегося в каталоге товара. Например, Samsung Galaxy</x:t>
  </x:si>
  <x:si>
    <x:t>353</x:t>
  </x:si>
  <x:si>
    <x:t>Не готов</x:t>
  </x:si>
  <x:si>
    <x:t>10/1/2025 16:14:49</x:t>
  </x:si>
  <x:si>
    <x:t>набрать в строке поиска три первые буквы наименования точно имеющегося в каталоге товара. Например, Sam</x:t>
  </x:si>
  <x:si>
    <x:t>354</x:t>
  </x:si>
  <x:si>
    <x:t>10/1/2025 16:17:09</x:t>
  </x:si>
  <x:si>
    <x:t>набрать в строке поиска три первые буквы наименования точно имеющегося в каталоге товара. Например, Son</x:t>
  </x:si>
  <x:si>
    <x:t>355</x:t>
  </x:si>
  <x:si>
    <x:t>10/1/2025 16:22:01</x:t>
  </x:si>
  <x:si>
    <x:t>набрать в строке поиска 4 первые буквы наименования точно имеющегося в каталоге товара. Например, stin</x:t>
  </x:si>
  <x:si>
    <x:t>356</x:t>
  </x:si>
  <x:si>
    <x:t>10/1/2025 16:22:53</x:t>
  </x:si>
  <x:si>
    <x:t>набрать в строке поиска 4 первые буквы наименования точно имеющегося в каталоге товара. Например, star</x:t>
  </x:si>
  <x:si>
    <x:t>357</x:t>
  </x:si>
  <x:si>
    <x:t>10/1/2025 16:24:33</x:t>
  </x:si>
  <x:si>
    <x:t>набрать в строке поиска 5 первых букв наименования точно имеющегося в каталоге товара. Например, Indes</x:t>
  </x:si>
  <x:si>
    <x:t>358</x:t>
  </x:si>
  <x:si>
    <x:t>10/1/2025 16:26:08</x:t>
  </x:si>
  <x:si>
    <x:t>набрать в строке поиска 5 первых букв наименования точно имеющегося в каталоге товара. Например, Kitfo</x:t>
  </x:si>
  <x:si>
    <x:t>359</x:t>
  </x:si>
  <x:si>
    <x:t>10/1/2025 16:29:19</x:t>
  </x:si>
  <x:si>
    <x:t>набрать в строке поиска  наименования точно имеющегося в каталоге товара без одной буквы внутри. Например, Dreme</x:t>
  </x:si>
  <x:si>
    <x:t>360</x:t>
  </x:si>
  <x:si>
    <x:t>10/1/2025 16:31:03</x:t>
  </x:si>
  <x:si>
    <x:t>набрать в строке поиска  наименования точно имеющегося в каталоге товара без одной буквы внутри. Например, Aple</x:t>
  </x:si>
  <x:si>
    <x:t>361</x:t>
  </x:si>
  <x:si>
    <x:t>10/1/2025 16:32:43</x:t>
  </x:si>
  <x:si>
    <x:t>набрать в строке поиска  наименования точно имеющегося в каталоге товара, заменив одну букву в названии. Например, Ledrand</x:t>
  </x:si>
  <x:si>
    <x:t>362</x:t>
  </x:si>
  <x:si>
    <x:t>10/1/2025 16:34:35</x:t>
  </x:si>
  <x:si>
    <x:t>набрать в строке поиска  наименования точно имеющегося в каталоге товара, заменив одну букву в названии. Например, Lenuvo</x:t>
  </x:si>
  <x:si>
    <x:t>363</x:t>
  </x:si>
  <x:si>
    <x:t>10/1/2025 16:35:51</x:t>
  </x:si>
  <x:si>
    <x:t>ввести нусуществующее слово</x:t>
  </x:si>
  <x:si>
    <x:t>поиск не осуществляется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</x:si>
</x:sst>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7" totalsRowShown="0">
  <x:autoFilter ref="A1:Q6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33.567768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HYPERLINK("https://team-v23u.testit.software/projects/142/tests/350",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HYPERLINK("https://team-v23u.testit.software/projects/142/tests/351", "валид 1")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30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26</x:v>
      </x:c>
      <x:c r="G5" s="1" t="s">
        <x:v>20</x:v>
      </x:c>
      <x:c r="H5" s="1" t="s">
        <x:v>27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33</x:v>
      </x:c>
      <x:c r="G7" s="1" t="s">
        <x:v>20</x:v>
      </x:c>
      <x:c r="H7" s="1" t="s">
        <x:v>34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35</x:v>
      </x:c>
      <x:c r="G8" s="1" t="s">
        <x:v>20</x:v>
      </x:c>
      <x:c r="H8" s="1" t="s">
        <x:v>36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37</x:v>
      </x:c>
      <x:c r="B9" s="2" t="s">
        <x:v>18</x:v>
      </x:c>
      <x:c r="C9" s="2">
        <x:f>HYPERLINK("https://team-v23u.testit.software/projects/142/tests/352", " валид 2")</x:f>
      </x:c>
      <x:c r="D9" s="1" t="s">
        <x:v>19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21</x:v>
      </x:c>
      <x:c r="M9" s="1" t="s">
        <x:v>22</x:v>
      </x:c>
      <x:c r="N9" s="1" t="s">
        <x:v>38</x:v>
      </x:c>
      <x:c r="O9" s="1" t="s">
        <x:v>24</x:v>
      </x:c>
      <x:c r="P9" s="1" t="s">
        <x:v>30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26</x:v>
      </x:c>
      <x:c r="G10" s="1" t="s">
        <x:v>20</x:v>
      </x:c>
      <x:c r="H10" s="1" t="s">
        <x:v>27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31</x:v>
      </x:c>
      <x:c r="G11" s="1" t="s">
        <x:v>20</x:v>
      </x:c>
      <x:c r="H11" s="1" t="s">
        <x:v>32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39</x:v>
      </x:c>
      <x:c r="G12" s="1" t="s">
        <x:v>20</x:v>
      </x:c>
      <x:c r="H12" s="1" t="s">
        <x:v>34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35</x:v>
      </x:c>
      <x:c r="G13" s="1" t="s">
        <x:v>20</x:v>
      </x:c>
      <x:c r="H13" s="1" t="s">
        <x:v>36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40</x:v>
      </x:c>
      <x:c r="B14" s="2" t="s">
        <x:v>18</x:v>
      </x:c>
      <x:c r="C14" s="2">
        <x:f>HYPERLINK("https://team-v23u.testit.software/projects/142/tests/353", "sam")</x:f>
      </x:c>
      <x:c r="D14" s="1" t="s">
        <x:v>19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21</x:v>
      </x:c>
      <x:c r="M14" s="1" t="s">
        <x:v>41</x:v>
      </x:c>
      <x:c r="N14" s="1" t="s">
        <x:v>42</x:v>
      </x:c>
      <x:c r="O14" s="1" t="s">
        <x:v>24</x:v>
      </x:c>
      <x:c r="P14" s="1" t="s">
        <x:v>30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26</x:v>
      </x:c>
      <x:c r="G15" s="1" t="s">
        <x:v>20</x:v>
      </x:c>
      <x:c r="H15" s="1" t="s">
        <x:v>27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31</x:v>
      </x:c>
      <x:c r="G16" s="1" t="s">
        <x:v>20</x:v>
      </x:c>
      <x:c r="H16" s="1" t="s">
        <x:v>32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43</x:v>
      </x:c>
      <x:c r="G17" s="1" t="s">
        <x:v>20</x:v>
      </x:c>
      <x:c r="H17" s="1" t="s">
        <x:v>34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35</x:v>
      </x:c>
      <x:c r="G18" s="1" t="s">
        <x:v>20</x:v>
      </x:c>
      <x:c r="H18" s="1" t="s">
        <x:v>36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44</x:v>
      </x:c>
      <x:c r="B19" s="2" t="s">
        <x:v>18</x:v>
      </x:c>
      <x:c r="C19" s="2">
        <x:f>HYPERLINK("https://team-v23u.testit.software/projects/142/tests/354", "son")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45</x:v>
      </x:c>
      <x:c r="O19" s="1" t="s">
        <x:v>24</x:v>
      </x:c>
      <x:c r="P19" s="1" t="s">
        <x:v>30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26</x:v>
      </x:c>
      <x:c r="G20" s="1" t="s">
        <x:v>20</x:v>
      </x:c>
      <x:c r="H20" s="1" t="s">
        <x:v>27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31</x:v>
      </x:c>
      <x:c r="G21" s="1" t="s">
        <x:v>20</x:v>
      </x:c>
      <x:c r="H21" s="1" t="s">
        <x:v>32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46</x:v>
      </x:c>
      <x:c r="G22" s="1" t="s">
        <x:v>20</x:v>
      </x:c>
      <x:c r="H22" s="1" t="s">
        <x:v>34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35</x:v>
      </x:c>
      <x:c r="G23" s="1" t="s">
        <x:v>20</x:v>
      </x:c>
      <x:c r="H23" s="1" t="s">
        <x:v>36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47</x:v>
      </x:c>
      <x:c r="B24" s="2" t="s">
        <x:v>18</x:v>
      </x:c>
      <x:c r="C24" s="2">
        <x:f>HYPERLINK("https://team-v23u.testit.software/projects/142/tests/355", "stin")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41</x:v>
      </x:c>
      <x:c r="N24" s="1" t="s">
        <x:v>48</x:v>
      </x:c>
      <x:c r="O24" s="1" t="s">
        <x:v>24</x:v>
      </x:c>
      <x:c r="P24" s="1" t="s">
        <x:v>30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26</x:v>
      </x:c>
      <x:c r="G25" s="1" t="s">
        <x:v>20</x:v>
      </x:c>
      <x:c r="H25" s="1" t="s">
        <x:v>27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31</x:v>
      </x:c>
      <x:c r="G26" s="1" t="s">
        <x:v>20</x:v>
      </x:c>
      <x:c r="H26" s="1" t="s">
        <x:v>32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49</x:v>
      </x:c>
      <x:c r="G27" s="1" t="s">
        <x:v>20</x:v>
      </x:c>
      <x:c r="H27" s="1" t="s">
        <x:v>34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35</x:v>
      </x:c>
      <x:c r="G28" s="1" t="s">
        <x:v>20</x:v>
      </x:c>
      <x:c r="H28" s="1" t="s">
        <x:v>36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50</x:v>
      </x:c>
      <x:c r="B29" s="2" t="s">
        <x:v>18</x:v>
      </x:c>
      <x:c r="C29" s="2">
        <x:f>HYPERLINK("https://team-v23u.testit.software/projects/142/tests/356", "star")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22</x:v>
      </x:c>
      <x:c r="N29" s="1" t="s">
        <x:v>51</x:v>
      </x:c>
      <x:c r="O29" s="1" t="s">
        <x:v>24</x:v>
      </x:c>
      <x:c r="P29" s="1" t="s">
        <x:v>30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26</x:v>
      </x:c>
      <x:c r="G30" s="1" t="s">
        <x:v>20</x:v>
      </x:c>
      <x:c r="H30" s="1" t="s">
        <x:v>27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31</x:v>
      </x:c>
      <x:c r="G31" s="1" t="s">
        <x:v>20</x:v>
      </x:c>
      <x:c r="H31" s="1" t="s">
        <x:v>32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52</x:v>
      </x:c>
      <x:c r="G32" s="1" t="s">
        <x:v>20</x:v>
      </x:c>
      <x:c r="H32" s="1" t="s">
        <x:v>34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35</x:v>
      </x:c>
      <x:c r="G33" s="1" t="s">
        <x:v>20</x:v>
      </x:c>
      <x:c r="H33" s="1" t="s">
        <x:v>36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53</x:v>
      </x:c>
      <x:c r="B34" s="2" t="s">
        <x:v>18</x:v>
      </x:c>
      <x:c r="C34" s="2">
        <x:f>HYPERLINK("https://team-v23u.testit.software/projects/142/tests/357", "Indes")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54</x:v>
      </x:c>
      <x:c r="O34" s="1" t="s">
        <x:v>24</x:v>
      </x:c>
      <x:c r="P34" s="1" t="s">
        <x:v>30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26</x:v>
      </x:c>
      <x:c r="G35" s="1" t="s">
        <x:v>20</x:v>
      </x:c>
      <x:c r="H35" s="1" t="s">
        <x:v>27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31</x:v>
      </x:c>
      <x:c r="G36" s="1" t="s">
        <x:v>20</x:v>
      </x:c>
      <x:c r="H36" s="1" t="s">
        <x:v>32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55</x:v>
      </x:c>
      <x:c r="G37" s="1" t="s">
        <x:v>20</x:v>
      </x:c>
      <x:c r="H37" s="1" t="s">
        <x:v>34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35</x:v>
      </x:c>
      <x:c r="G38" s="1" t="s">
        <x:v>20</x:v>
      </x:c>
      <x:c r="H38" s="1" t="s">
        <x:v>36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56</x:v>
      </x:c>
      <x:c r="B39" s="2" t="s">
        <x:v>18</x:v>
      </x:c>
      <x:c r="C39" s="2">
        <x:f>HYPERLINK("https://team-v23u.testit.software/projects/142/tests/358", "Kitfo")</x:f>
      </x:c>
      <x:c r="D39" s="1" t="s">
        <x:v>19</x:v>
      </x:c>
      <x:c r="E39" s="1" t="s">
        <x:v>20</x:v>
      </x:c>
      <x:c r="F39" s="1" t="s">
        <x:v>20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21</x:v>
      </x:c>
      <x:c r="M39" s="1" t="s">
        <x:v>22</x:v>
      </x:c>
      <x:c r="N39" s="1" t="s">
        <x:v>57</x:v>
      </x:c>
      <x:c r="O39" s="1" t="s">
        <x:v>24</x:v>
      </x:c>
      <x:c r="P39" s="1" t="s">
        <x:v>30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26</x:v>
      </x:c>
      <x:c r="G40" s="1" t="s">
        <x:v>20</x:v>
      </x:c>
      <x:c r="H40" s="1" t="s">
        <x:v>27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31</x:v>
      </x:c>
      <x:c r="G41" s="1" t="s">
        <x:v>20</x:v>
      </x:c>
      <x:c r="H41" s="1" t="s">
        <x:v>32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58</x:v>
      </x:c>
      <x:c r="G42" s="1" t="s">
        <x:v>20</x:v>
      </x:c>
      <x:c r="H42" s="1" t="s">
        <x:v>34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35</x:v>
      </x:c>
      <x:c r="G43" s="1" t="s">
        <x:v>20</x:v>
      </x:c>
      <x:c r="H43" s="1" t="s">
        <x:v>36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59</x:v>
      </x:c>
      <x:c r="B44" s="2" t="s">
        <x:v>18</x:v>
      </x:c>
      <x:c r="C44" s="2">
        <x:f>HYPERLINK("https://team-v23u.testit.software/projects/142/tests/359", "Dreme")</x:f>
      </x:c>
      <x:c r="D44" s="1" t="s">
        <x:v>19</x:v>
      </x:c>
      <x:c r="E44" s="1" t="s">
        <x:v>20</x:v>
      </x:c>
      <x:c r="F44" s="1" t="s">
        <x:v>20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21</x:v>
      </x:c>
      <x:c r="M44" s="1" t="s">
        <x:v>22</x:v>
      </x:c>
      <x:c r="N44" s="1" t="s">
        <x:v>60</x:v>
      </x:c>
      <x:c r="O44" s="1" t="s">
        <x:v>24</x:v>
      </x:c>
      <x:c r="P44" s="1" t="s">
        <x:v>30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26</x:v>
      </x:c>
      <x:c r="G45" s="1" t="s">
        <x:v>20</x:v>
      </x:c>
      <x:c r="H45" s="1" t="s">
        <x:v>27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31</x:v>
      </x:c>
      <x:c r="G46" s="1" t="s">
        <x:v>20</x:v>
      </x:c>
      <x:c r="H46" s="1" t="s">
        <x:v>32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61</x:v>
      </x:c>
      <x:c r="G47" s="1" t="s">
        <x:v>20</x:v>
      </x:c>
      <x:c r="H47" s="1" t="s">
        <x:v>34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35</x:v>
      </x:c>
      <x:c r="G48" s="1" t="s">
        <x:v>20</x:v>
      </x:c>
      <x:c r="H48" s="1" t="s">
        <x:v>36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62</x:v>
      </x:c>
      <x:c r="B49" s="2" t="s">
        <x:v>18</x:v>
      </x:c>
      <x:c r="C49" s="2">
        <x:f>HYPERLINK("https://team-v23u.testit.software/projects/142/tests/360", "Aple")</x:f>
      </x:c>
      <x:c r="D49" s="1" t="s">
        <x:v>19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21</x:v>
      </x:c>
      <x:c r="M49" s="1" t="s">
        <x:v>22</x:v>
      </x:c>
      <x:c r="N49" s="1" t="s">
        <x:v>63</x:v>
      </x:c>
      <x:c r="O49" s="1" t="s">
        <x:v>24</x:v>
      </x:c>
      <x:c r="P49" s="1" t="s">
        <x:v>30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26</x:v>
      </x:c>
      <x:c r="G50" s="1" t="s">
        <x:v>20</x:v>
      </x:c>
      <x:c r="H50" s="1" t="s">
        <x:v>27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31</x:v>
      </x:c>
      <x:c r="G51" s="1" t="s">
        <x:v>20</x:v>
      </x:c>
      <x:c r="H51" s="1" t="s">
        <x:v>32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64</x:v>
      </x:c>
      <x:c r="G52" s="1" t="s">
        <x:v>20</x:v>
      </x:c>
      <x:c r="H52" s="1" t="s">
        <x:v>34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35</x:v>
      </x:c>
      <x:c r="G53" s="1" t="s">
        <x:v>20</x:v>
      </x:c>
      <x:c r="H53" s="1" t="s">
        <x:v>36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65</x:v>
      </x:c>
      <x:c r="B54" s="2" t="s">
        <x:v>18</x:v>
      </x:c>
      <x:c r="C54" s="2">
        <x:f>HYPERLINK("https://team-v23u.testit.software/projects/142/tests/361", "Ledrand")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21</x:v>
      </x:c>
      <x:c r="M54" s="1" t="s">
        <x:v>22</x:v>
      </x:c>
      <x:c r="N54" s="1" t="s">
        <x:v>66</x:v>
      </x:c>
      <x:c r="O54" s="1" t="s">
        <x:v>24</x:v>
      </x:c>
      <x:c r="P54" s="1" t="s">
        <x:v>30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26</x:v>
      </x:c>
      <x:c r="G55" s="1" t="s">
        <x:v>20</x:v>
      </x:c>
      <x:c r="H55" s="1" t="s">
        <x:v>27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31</x:v>
      </x:c>
      <x:c r="G56" s="1" t="s">
        <x:v>20</x:v>
      </x:c>
      <x:c r="H56" s="1" t="s">
        <x:v>32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67</x:v>
      </x:c>
      <x:c r="G57" s="1" t="s">
        <x:v>20</x:v>
      </x:c>
      <x:c r="H57" s="1" t="s">
        <x:v>34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35</x:v>
      </x:c>
      <x:c r="G58" s="1" t="s">
        <x:v>20</x:v>
      </x:c>
      <x:c r="H58" s="1" t="s">
        <x:v>36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68</x:v>
      </x:c>
      <x:c r="B59" s="2" t="s">
        <x:v>18</x:v>
      </x:c>
      <x:c r="C59" s="2">
        <x:f>HYPERLINK("https://team-v23u.testit.software/projects/142/tests/362", "Lenuvo")</x:f>
      </x:c>
      <x:c r="D59" s="1" t="s">
        <x:v>19</x:v>
      </x:c>
      <x:c r="E59" s="1" t="s">
        <x:v>20</x:v>
      </x:c>
      <x:c r="F59" s="1" t="s">
        <x:v>20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21</x:v>
      </x:c>
      <x:c r="M59" s="1" t="s">
        <x:v>22</x:v>
      </x:c>
      <x:c r="N59" s="1" t="s">
        <x:v>69</x:v>
      </x:c>
      <x:c r="O59" s="1" t="s">
        <x:v>24</x:v>
      </x:c>
      <x:c r="P59" s="1" t="s">
        <x:v>30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26</x:v>
      </x:c>
      <x:c r="G60" s="1" t="s">
        <x:v>20</x:v>
      </x:c>
      <x:c r="H60" s="1" t="s">
        <x:v>27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31</x:v>
      </x:c>
      <x:c r="G61" s="1" t="s">
        <x:v>20</x:v>
      </x:c>
      <x:c r="H61" s="1" t="s">
        <x:v>32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70</x:v>
      </x:c>
      <x:c r="G62" s="1" t="s">
        <x:v>20</x:v>
      </x:c>
      <x:c r="H62" s="1" t="s">
        <x:v>34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35</x:v>
      </x:c>
      <x:c r="G63" s="1" t="s">
        <x:v>20</x:v>
      </x:c>
      <x:c r="H63" s="1" t="s">
        <x:v>36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71</x:v>
      </x:c>
      <x:c r="B64" s="2" t="s">
        <x:v>18</x:v>
      </x:c>
      <x:c r="C64" s="2">
        <x:f>HYPERLINK("https://team-v23u.testit.software/projects/142/tests/363", "вапикекеркекетпктекнт")</x:f>
      </x:c>
      <x:c r="D64" s="1" t="s">
        <x:v>19</x:v>
      </x:c>
      <x:c r="E64" s="1" t="s">
        <x:v>20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21</x:v>
      </x:c>
      <x:c r="M64" s="1" t="s">
        <x:v>22</x:v>
      </x:c>
      <x:c r="N64" s="1" t="s">
        <x:v>72</x:v>
      </x:c>
      <x:c r="O64" s="1" t="s">
        <x:v>24</x:v>
      </x:c>
      <x:c r="P64" s="1" t="s">
        <x:v>30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26</x:v>
      </x:c>
      <x:c r="G65" s="1" t="s">
        <x:v>20</x:v>
      </x:c>
      <x:c r="H65" s="1" t="s">
        <x:v>27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31</x:v>
      </x:c>
      <x:c r="G66" s="1" t="s">
        <x:v>20</x:v>
      </x:c>
      <x:c r="H66" s="1" t="s">
        <x:v>32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73</x:v>
      </x:c>
      <x:c r="G67" s="1" t="s">
        <x:v>20</x:v>
      </x:c>
      <x:c r="H67" s="1" t="s">
        <x:v>74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