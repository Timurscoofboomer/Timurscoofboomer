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91cdb1924c44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a7635faf404658983d9ef0a22798d5.psmdcp" Id="Ra068c9fbc5cc4a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стажировк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16" i="1"/>
  <x:c r="C20" i="1"/>
  <x:c r="C24" i="1"/>
  <x:c r="C29" i="1"/>
  <x:c r="C33" i="1"/>
  <x:c r="C37" i="1"/>
  <x:c r="C43" i="1"/>
  <x:c r="C49" i="1"/>
  <x:c r="C55" i="1"/>
  <x:c r="C61" i="1"/>
  <x:c r="C67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<x:sst xmlns:x="http://schemas.openxmlformats.org/spreadsheetml/2006/main">
  <x:si>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</x:si>
  <x:si>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</x:si>
  <x:si>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</x:si>
  <x:si>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</x:si>
  <x:si>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</x:si>
  <x:si>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</x:si>
  <x:si>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</x:si>
  <x:si>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</x:si>
  <x:si>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</x:si>
  <x:si>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</x:si>
  <x:si>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</x:si>
  <x:si>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</x:si>
  <x:si>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</x:si>
  <x:si>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</x:si>
  <x:si>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</x:si>
  <x:si>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</x:si>
  <x:si>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</x:si>
  <x:si>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200</x:t>
  </x:si>
  <x:si>
    <x:t>стажировка -&gt; asktel.ru</x:t>
  </x:si>
  <x:si>
    <x:t>Нет</x:t>
  </x:si>
  <x:si>
    <x:t/>
  </x:si>
  <x:si>
    <x:t>адрес: адрес с городом; ваш имейл: ваш e-mail; ваше имя: ваше имя; инфа  о компании: информация о компании и видах деятельности; капча: ячейка для галочки с капчей; название компании: название компании; сайт: сайт; телефоны: телефоны; ячейка согласия: ячейка для галочки согласия с обработкой данных;</x:t>
  </x:si>
  <x:si>
    <x:t>Высокий</x:t>
  </x:si>
  <x:si>
    <x:t>Готов</x:t>
  </x:si>
  <x:si>
    <x:t>9/30/2025 05:14:53</x:t>
  </x:si>
  <x:si>
    <x:t>тимур гатауллин</x:t>
  </x:si>
  <x:si>
    <x:t>0h 2m 0s</x:t>
  </x:si>
  <x:si>
    <x:t>позитивный, функциональный</x:t>
  </x:si>
  <x:si>
    <x:t>зайти на сайт asktel.ru</x:t>
  </x:si>
  <x:si>
    <x:t>сайт доступен</x:t>
  </x:si>
  <x:si>
    <x:t>кликнуть на ссылку “добавить компанию” в хэдере</x:t>
  </x:si>
  <x:si>
    <x:t>открылась форма с полями для регистрации</x:t>
  </x:si>
  <x:si>
    <x:t>в поле %ваше имя ввести валидное значение имени</x:t>
  </x:si>
  <x:si>
    <x:t>имя введено</x:t>
  </x:si>
  <x:si>
    <x:t>в поле %ваш имейл ввести валидный адрес электронной почты</x:t>
  </x:si>
  <x:si>
    <x:t>адрес электронной почты введен</x:t>
  </x:si>
  <x:si>
    <x:t>в поле %название компании ввести валидное значение названия компании</x:t>
  </x:si>
  <x:si>
    <x:t>название компании введено</x:t>
  </x:si>
  <x:si>
    <x:t>в поле %адрес ввести валидный адрес</x:t>
  </x:si>
  <x:si>
    <x:t>адрес введен</x:t>
  </x:si>
  <x:si>
    <x:t>в поле %телефоны  ввести валидный номер телефона</x:t>
  </x:si>
  <x:si>
    <x:t>номер телефона введен</x:t>
  </x:si>
  <x:si>
    <x:t>в поле %сайт ввести валидный адрес сайта</x:t>
  </x:si>
  <x:si>
    <x:t>адрес сайта введен</x:t>
  </x:si>
  <x:si>
    <x:t>в поле %инфа  о компании написать что-нибудь</x:t>
  </x:si>
  <x:si>
    <x:t>текст введен</x:t>
  </x:si>
  <x:si>
    <x:t>поставить галочку в поле %ячейка согласия</x:t>
  </x:si>
  <x:si>
    <x:t>галочка установлена</x:t>
  </x:si>
  <x:si>
    <x:t>ввести что-нибудь в поле для примечания</x:t>
  </x:si>
  <x:si>
    <x:t>поставить галочку в  %капча</x:t>
  </x:si>
  <x:si>
    <x:t>капча пройдена</x:t>
  </x:si>
  <x:si>
    <x:t>нажать на кнопку “отправить”</x:t>
  </x:si>
  <x:si>
    <x:t>открылась страница с инфой об успешном размещении компании в справочнике</x:t>
  </x:si>
  <x:si>
    <x:t>203</x:t>
  </x:si>
  <x:si>
    <x:t>9/30/2025 05:42:40</x:t>
  </x:si>
  <x:si>
    <x:t>0h 1m 0s</x:t>
  </x:si>
  <x:si>
    <x:t>негативный, функциональный</x:t>
  </x:si>
  <x:si>
    <x:t>оставить все поля пустыми, не ставить галочку капчи, нажать на кнопку “отправить”</x:t>
  </x:si>
  <x:si>
    <x:t>система не принимает</x:t>
  </x:si>
  <x:si>
    <x:t>204</x:t>
  </x:si>
  <x:si>
    <x:t>9/30/2025 05:43:49</x:t>
  </x:si>
  <x:si>
    <x:t>0h 10m 0s</x:t>
  </x:si>
  <x:si>
    <x:t>оставить все поля пустыми, поставить галочку капчи, нажать на кнопку “отправить”</x:t>
  </x:si>
  <x:si>
    <x:t>206</x:t>
  </x:si>
  <x:si>
    <x:t>9/30/2025 05:52:03</x:t>
  </x:si>
  <x:si>
    <x:t>0h 3m 0s</x:t>
  </x:si>
  <x:si>
    <x:t>ввести произвольные данные во всех полях формы регистрации</x:t>
  </x:si>
  <x:si>
    <x:t>поля заполнены</x:t>
  </x:si>
  <x:si>
    <x:t>поставить галочку капчи, нажать на кнопку “отправить”</x:t>
  </x:si>
  <x:si>
    <x:t>система откажет в размещении компании в справочнике</x:t>
  </x:si>
  <x:si>
    <x:t>508</x:t>
  </x:si>
  <x:si>
    <x:t>Средний</x:t>
  </x:si>
  <x:si>
    <x:t>10/6/2025 15:49:38</x:t>
  </x:si>
  <x:si>
    <x:t>0h 0m 0s</x:t>
  </x:si>
  <x:si>
    <x:t>сайт открыт</x:t>
  </x:si>
  <x:si>
    <x:t>509</x:t>
  </x:si>
  <x:si>
    <x:t>10/6/2025 15:51:16</x:t>
  </x:si>
  <x:si>
    <x:t>кликнуть линк “Добавить компанию” в хедере</x:t>
  </x:si>
  <x:si>
    <x:t>открылась страница с полями для регистрации</x:t>
  </x:si>
  <x:si>
    <x:t>510</x:t>
  </x:si>
  <x:si>
    <x:t>10/6/2025 15:59:37</x:t>
  </x:si>
  <x:si>
    <x:t>баг</x:t>
  </x:si>
  <x:si>
    <x:t>заполнить все поля корректными значениями, оставив поле “Ваше имя” пустым</x:t>
  </x:si>
  <x:si>
    <x:t>данные введены кроме поля имени</x:t>
  </x:si>
  <x:si>
    <x:t>поставить галочку согласия, пройти капчу,  нажать кнопку “отправить”</x:t>
  </x:si>
  <x:si>
    <x:t>отказ в регистрации из-за пустого обязательного поля</x:t>
  </x:si>
  <x:si>
    <x:t>разлогиниться</x:t>
  </x:si>
  <x:si>
    <x:t>511</x:t>
  </x:si>
  <x:si>
    <x:t>10/6/2025 16:02:45</x:t>
  </x:si>
  <x:si>
    <x:t>заполнить все поля любыми значениями, оставив поле “Ваш e-mail” пустым</x:t>
  </x:si>
  <x:si>
    <x:t>данные введены кроме поля почты</x:t>
  </x:si>
  <x:si>
    <x:t>поставить галочку согласия, пройти капчу, нажать кнопку “отправить”</x:t>
  </x:si>
  <x:si>
    <x:t>512</x:t>
  </x:si>
  <x:si>
    <x:t>10/6/2025 16:05:10</x:t>
  </x:si>
  <x:si>
    <x:t>заполнить все поля, оставив поле “название компании” пустым</x:t>
  </x:si>
  <x:si>
    <x:t>данные введены кроме поля для названия компании</x:t>
  </x:si>
  <x:si>
    <x:t>513</x:t>
  </x:si>
  <x:si>
    <x:t>10/6/2025 16:07:59</x:t>
  </x:si>
  <x:si>
    <x:t>заполнить все поля, оставив поле “адрес с городом” пустым</x:t>
  </x:si>
  <x:si>
    <x:t>данные введены кроме поля для адреса</x:t>
  </x:si>
  <x:si>
    <x:t>отказ в регистрации  из-за пустого обязательного поля</x:t>
  </x:si>
  <x:si>
    <x:t>514</x:t>
  </x:si>
  <x:si>
    <x:t>10/6/2025 16:09:21</x:t>
  </x:si>
  <x:si>
    <x:t>заполнить все поля, оставив поле “телефоны” пустым</x:t>
  </x:si>
  <x:si>
    <x:t>данные введены кроме поля для телефона</x:t>
  </x:si>
  <x:si>
    <x:t>515</x:t>
  </x:si>
  <x:si>
    <x:t>10/6/2025 16:10:58</x:t>
  </x:si>
  <x:si>
    <x:t>заполнить все поля, оставив поле “сайт” пустым</x:t>
  </x:si>
  <x:si>
    <x:t>данные введены кроме поля для сайта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</x:si>
</x:sst>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72" totalsRowShown="0">
  <x:autoFilter ref="A1:Q72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2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2.567768" style="2" customWidth="1"/>
    <x:col min="3" max="3" width="50.710625" style="2" customWidth="1"/>
    <x:col min="4" max="4" width="20.139196" style="1" customWidth="1"/>
    <x:col min="5" max="5" width="49.282054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50.710625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6.424911" style="1" customWidth="1"/>
    <x:col min="16" max="16" width="16.139196" style="1" customWidth="1"/>
    <x:col min="17" max="17" width="30.139196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HYPERLINK("https://team-v23u.testit.software/projects/142/tests/200", "валидные")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21</x:v>
      </x:c>
      <x:c r="L2" s="1" t="s">
        <x:v>22</x:v>
      </x:c>
      <x:c r="M2" s="1" t="s">
        <x:v>23</x:v>
      </x:c>
      <x:c r="N2" s="1" t="s">
        <x:v>24</x:v>
      </x:c>
      <x:c r="O2" s="1" t="s">
        <x:v>25</x:v>
      </x:c>
      <x:c r="P2" s="1" t="s">
        <x:v>26</x:v>
      </x:c>
      <x:c r="Q2" s="1" t="s">
        <x:v>27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28</x:v>
      </x:c>
      <x:c r="F3" s="1" t="s">
        <x:v>20</x:v>
      </x:c>
      <x:c r="G3" s="1" t="s">
        <x:v>20</x:v>
      </x:c>
      <x:c r="H3" s="1" t="s">
        <x:v>29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30</x:v>
      </x:c>
      <x:c r="F4" s="1" t="s">
        <x:v>20</x:v>
      </x:c>
      <x:c r="G4" s="1" t="s">
        <x:v>20</x:v>
      </x:c>
      <x:c r="H4" s="1" t="s">
        <x:v>31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32</x:v>
      </x:c>
      <x:c r="G5" s="1" t="s">
        <x:v>20</x:v>
      </x:c>
      <x:c r="H5" s="1" t="s">
        <x:v>33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34</x:v>
      </x:c>
      <x:c r="G6" s="1" t="s">
        <x:v>20</x:v>
      </x:c>
      <x:c r="H6" s="1" t="s">
        <x:v>35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36</x:v>
      </x:c>
      <x:c r="G7" s="1" t="s">
        <x:v>20</x:v>
      </x:c>
      <x:c r="H7" s="1" t="s">
        <x:v>37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38</x:v>
      </x:c>
      <x:c r="G8" s="1" t="s">
        <x:v>20</x:v>
      </x:c>
      <x:c r="H8" s="1" t="s">
        <x:v>39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40</x:v>
      </x:c>
      <x:c r="G9" s="1" t="s">
        <x:v>20</x:v>
      </x:c>
      <x:c r="H9" s="1" t="s">
        <x:v>41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42</x:v>
      </x:c>
      <x:c r="G10" s="1" t="s">
        <x:v>20</x:v>
      </x:c>
      <x:c r="H10" s="1" t="s">
        <x:v>43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44</x:v>
      </x:c>
      <x:c r="G11" s="1" t="s">
        <x:v>20</x:v>
      </x:c>
      <x:c r="H11" s="1" t="s">
        <x:v>45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46</x:v>
      </x:c>
      <x:c r="G12" s="1" t="s">
        <x:v>20</x:v>
      </x:c>
      <x:c r="H12" s="1" t="s">
        <x:v>47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48</x:v>
      </x:c>
      <x:c r="G13" s="1" t="s">
        <x:v>20</x:v>
      </x:c>
      <x:c r="H13" s="1" t="s">
        <x:v>45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49</x:v>
      </x:c>
      <x:c r="G14" s="1" t="s">
        <x:v>20</x:v>
      </x:c>
      <x:c r="H14" s="1" t="s">
        <x:v>50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51</x:v>
      </x:c>
      <x:c r="G15" s="1" t="s">
        <x:v>20</x:v>
      </x:c>
      <x:c r="H15" s="1" t="s">
        <x:v>52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53</x:v>
      </x:c>
      <x:c r="B16" s="2" t="s">
        <x:v>18</x:v>
      </x:c>
      <x:c r="C16" s="2">
        <x:f>HYPERLINK("https://team-v23u.testit.software/projects/142/tests/203", "пустые без капчи")</x:f>
      </x:c>
      <x:c r="D16" s="1" t="s">
        <x:v>19</x:v>
      </x:c>
      <x:c r="E16" s="1" t="s">
        <x:v>20</x:v>
      </x:c>
      <x:c r="F16" s="1" t="s">
        <x:v>20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22</x:v>
      </x:c>
      <x:c r="M16" s="1" t="s">
        <x:v>23</x:v>
      </x:c>
      <x:c r="N16" s="1" t="s">
        <x:v>54</x:v>
      </x:c>
      <x:c r="O16" s="1" t="s">
        <x:v>25</x:v>
      </x:c>
      <x:c r="P16" s="1" t="s">
        <x:v>55</x:v>
      </x:c>
      <x:c r="Q16" s="1" t="s">
        <x:v>56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28</x:v>
      </x:c>
      <x:c r="F17" s="1" t="s">
        <x:v>20</x:v>
      </x:c>
      <x:c r="G17" s="1" t="s">
        <x:v>20</x:v>
      </x:c>
      <x:c r="H17" s="1" t="s">
        <x:v>29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30</x:v>
      </x:c>
      <x:c r="F18" s="1" t="s">
        <x:v>20</x:v>
      </x:c>
      <x:c r="G18" s="1" t="s">
        <x:v>20</x:v>
      </x:c>
      <x:c r="H18" s="1" t="s">
        <x:v>31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57</x:v>
      </x:c>
      <x:c r="G19" s="1" t="s">
        <x:v>20</x:v>
      </x:c>
      <x:c r="H19" s="1" t="s">
        <x:v>58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59</x:v>
      </x:c>
      <x:c r="B20" s="2" t="s">
        <x:v>18</x:v>
      </x:c>
      <x:c r="C20" s="2">
        <x:f>HYPERLINK("https://team-v23u.testit.software/projects/142/tests/204", "пустые с капчей")</x:f>
      </x:c>
      <x:c r="D20" s="1" t="s">
        <x:v>19</x:v>
      </x:c>
      <x:c r="E20" s="1" t="s">
        <x:v>20</x:v>
      </x:c>
      <x:c r="F20" s="1" t="s">
        <x:v>20</x:v>
      </x:c>
      <x:c r="G20" s="1" t="s">
        <x:v>20</x:v>
      </x:c>
      <x:c r="H20" s="1" t="s">
        <x:v>20</x:v>
      </x:c>
      <x:c r="I20" s="1" t="s">
        <x:v>20</x:v>
      </x:c>
      <x:c r="J20" s="1" t="s">
        <x:v>20</x:v>
      </x:c>
      <x:c r="K20" s="1" t="s">
        <x:v>20</x:v>
      </x:c>
      <x:c r="L20" s="1" t="s">
        <x:v>22</x:v>
      </x:c>
      <x:c r="M20" s="1" t="s">
        <x:v>23</x:v>
      </x:c>
      <x:c r="N20" s="1" t="s">
        <x:v>60</x:v>
      </x:c>
      <x:c r="O20" s="1" t="s">
        <x:v>25</x:v>
      </x:c>
      <x:c r="P20" s="1" t="s">
        <x:v>61</x:v>
      </x:c>
      <x:c r="Q20" s="1" t="s">
        <x:v>56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28</x:v>
      </x:c>
      <x:c r="F21" s="1" t="s">
        <x:v>20</x:v>
      </x:c>
      <x:c r="G21" s="1" t="s">
        <x:v>20</x:v>
      </x:c>
      <x:c r="H21" s="1" t="s">
        <x:v>29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30</x:v>
      </x:c>
      <x:c r="F22" s="1" t="s">
        <x:v>20</x:v>
      </x:c>
      <x:c r="G22" s="1" t="s">
        <x:v>20</x:v>
      </x:c>
      <x:c r="H22" s="1" t="s">
        <x:v>31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62</x:v>
      </x:c>
      <x:c r="G23" s="1" t="s">
        <x:v>20</x:v>
      </x:c>
      <x:c r="H23" s="1" t="s">
        <x:v>58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63</x:v>
      </x:c>
      <x:c r="B24" s="2" t="s">
        <x:v>18</x:v>
      </x:c>
      <x:c r="C24" s="2">
        <x:f>HYPERLINK("https://team-v23u.testit.software/projects/142/tests/206", " не валидные 2")</x:f>
      </x:c>
      <x:c r="D24" s="1" t="s">
        <x:v>19</x:v>
      </x:c>
      <x:c r="E24" s="1" t="s">
        <x:v>20</x:v>
      </x:c>
      <x:c r="F24" s="1" t="s">
        <x:v>20</x:v>
      </x:c>
      <x:c r="G24" s="1" t="s">
        <x:v>20</x:v>
      </x:c>
      <x:c r="H24" s="1" t="s">
        <x:v>20</x:v>
      </x:c>
      <x:c r="I24" s="1" t="s">
        <x:v>20</x:v>
      </x:c>
      <x:c r="J24" s="1" t="s">
        <x:v>20</x:v>
      </x:c>
      <x:c r="K24" s="1" t="s">
        <x:v>20</x:v>
      </x:c>
      <x:c r="L24" s="1" t="s">
        <x:v>22</x:v>
      </x:c>
      <x:c r="M24" s="1" t="s">
        <x:v>23</x:v>
      </x:c>
      <x:c r="N24" s="1" t="s">
        <x:v>64</x:v>
      </x:c>
      <x:c r="O24" s="1" t="s">
        <x:v>25</x:v>
      </x:c>
      <x:c r="P24" s="1" t="s">
        <x:v>65</x:v>
      </x:c>
      <x:c r="Q24" s="1" t="s">
        <x:v>56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28</x:v>
      </x:c>
      <x:c r="F25" s="1" t="s">
        <x:v>20</x:v>
      </x:c>
      <x:c r="G25" s="1" t="s">
        <x:v>20</x:v>
      </x:c>
      <x:c r="H25" s="1" t="s">
        <x:v>29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30</x:v>
      </x:c>
      <x:c r="F26" s="1" t="s">
        <x:v>20</x:v>
      </x:c>
      <x:c r="G26" s="1" t="s">
        <x:v>20</x:v>
      </x:c>
      <x:c r="H26" s="1" t="s">
        <x:v>31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66</x:v>
      </x:c>
      <x:c r="G27" s="1" t="s">
        <x:v>20</x:v>
      </x:c>
      <x:c r="H27" s="1" t="s">
        <x:v>67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68</x:v>
      </x:c>
      <x:c r="G28" s="1" t="s">
        <x:v>20</x:v>
      </x:c>
      <x:c r="H28" s="1" t="s">
        <x:v>69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70</x:v>
      </x:c>
      <x:c r="B29" s="2" t="s">
        <x:v>18</x:v>
      </x:c>
      <x:c r="C29" s="2">
        <x:f>HYPERLINK("https://team-v23u.testit.software/projects/142/tests/508", "старт")</x:f>
      </x:c>
      <x:c r="D29" s="1" t="s">
        <x:v>19</x:v>
      </x:c>
      <x:c r="E29" s="1" t="s">
        <x:v>20</x:v>
      </x:c>
      <x:c r="F29" s="1" t="s">
        <x:v>20</x:v>
      </x:c>
      <x:c r="G29" s="1" t="s">
        <x:v>20</x:v>
      </x:c>
      <x:c r="H29" s="1" t="s">
        <x:v>20</x:v>
      </x:c>
      <x:c r="I29" s="1" t="s">
        <x:v>20</x:v>
      </x:c>
      <x:c r="J29" s="1" t="s">
        <x:v>20</x:v>
      </x:c>
      <x:c r="K29" s="1" t="s">
        <x:v>20</x:v>
      </x:c>
      <x:c r="L29" s="1" t="s">
        <x:v>71</x:v>
      </x:c>
      <x:c r="M29" s="1" t="s">
        <x:v>23</x:v>
      </x:c>
      <x:c r="N29" s="1" t="s">
        <x:v>72</x:v>
      </x:c>
      <x:c r="O29" s="1" t="s">
        <x:v>25</x:v>
      </x:c>
      <x:c r="P29" s="1" t="s">
        <x:v>73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28</x:v>
      </x:c>
      <x:c r="F30" s="1" t="s">
        <x:v>20</x:v>
      </x:c>
      <x:c r="G30" s="1" t="s">
        <x:v>20</x:v>
      </x:c>
      <x:c r="H30" s="1" t="s">
        <x:v>29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30</x:v>
      </x:c>
      <x:c r="F31" s="1" t="s">
        <x:v>20</x:v>
      </x:c>
      <x:c r="G31" s="1" t="s">
        <x:v>20</x:v>
      </x:c>
      <x:c r="H31" s="1" t="s">
        <x:v>31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28</x:v>
      </x:c>
      <x:c r="G32" s="1" t="s">
        <x:v>20</x:v>
      </x:c>
      <x:c r="H32" s="1" t="s">
        <x:v>74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75</x:v>
      </x:c>
      <x:c r="B33" s="2" t="s">
        <x:v>18</x:v>
      </x:c>
      <x:c r="C33" s="2">
        <x:f>HYPERLINK("https://team-v23u.testit.software/projects/142/tests/509", "добавить компанию")</x:f>
      </x:c>
      <x:c r="D33" s="1" t="s">
        <x:v>19</x:v>
      </x:c>
      <x:c r="E33" s="1" t="s">
        <x:v>20</x:v>
      </x:c>
      <x:c r="F33" s="1" t="s">
        <x:v>20</x:v>
      </x:c>
      <x:c r="G33" s="1" t="s">
        <x:v>20</x:v>
      </x:c>
      <x:c r="H33" s="1" t="s">
        <x:v>20</x:v>
      </x:c>
      <x:c r="I33" s="1" t="s">
        <x:v>20</x:v>
      </x:c>
      <x:c r="J33" s="1" t="s">
        <x:v>20</x:v>
      </x:c>
      <x:c r="K33" s="1" t="s">
        <x:v>20</x:v>
      </x:c>
      <x:c r="L33" s="1" t="s">
        <x:v>71</x:v>
      </x:c>
      <x:c r="M33" s="1" t="s">
        <x:v>23</x:v>
      </x:c>
      <x:c r="N33" s="1" t="s">
        <x:v>76</x:v>
      </x:c>
      <x:c r="O33" s="1" t="s">
        <x:v>25</x:v>
      </x:c>
      <x:c r="P33" s="1" t="s">
        <x:v>73</x:v>
      </x:c>
      <x:c r="Q33" s="1" t="s">
        <x:v>20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28</x:v>
      </x:c>
      <x:c r="F34" s="1" t="s">
        <x:v>20</x:v>
      </x:c>
      <x:c r="G34" s="1" t="s">
        <x:v>20</x:v>
      </x:c>
      <x:c r="H34" s="1" t="s">
        <x:v>29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30</x:v>
      </x:c>
      <x:c r="F35" s="1" t="s">
        <x:v>20</x:v>
      </x:c>
      <x:c r="G35" s="1" t="s">
        <x:v>20</x:v>
      </x:c>
      <x:c r="H35" s="1" t="s">
        <x:v>31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77</x:v>
      </x:c>
      <x:c r="G36" s="1" t="s">
        <x:v>20</x:v>
      </x:c>
      <x:c r="H36" s="1" t="s">
        <x:v>78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79</x:v>
      </x:c>
      <x:c r="B37" s="2" t="s">
        <x:v>18</x:v>
      </x:c>
      <x:c r="C37" s="2">
        <x:f>HYPERLINK("https://team-v23u.testit.software/projects/142/tests/510", "пустое имя")</x:f>
      </x:c>
      <x:c r="D37" s="1" t="s">
        <x:v>19</x:v>
      </x:c>
      <x:c r="E37" s="1" t="s">
        <x:v>20</x:v>
      </x:c>
      <x:c r="F37" s="1" t="s">
        <x:v>20</x:v>
      </x:c>
      <x:c r="G37" s="1" t="s">
        <x:v>20</x:v>
      </x:c>
      <x:c r="H37" s="1" t="s">
        <x:v>20</x:v>
      </x:c>
      <x:c r="I37" s="1" t="s">
        <x:v>20</x:v>
      </x:c>
      <x:c r="J37" s="1" t="s">
        <x:v>20</x:v>
      </x:c>
      <x:c r="K37" s="1" t="s">
        <x:v>20</x:v>
      </x:c>
      <x:c r="L37" s="1" t="s">
        <x:v>22</x:v>
      </x:c>
      <x:c r="M37" s="1" t="s">
        <x:v>23</x:v>
      </x:c>
      <x:c r="N37" s="1" t="s">
        <x:v>80</x:v>
      </x:c>
      <x:c r="O37" s="1" t="s">
        <x:v>25</x:v>
      </x:c>
      <x:c r="P37" s="1" t="s">
        <x:v>55</x:v>
      </x:c>
      <x:c r="Q37" s="1" t="s">
        <x:v>81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28</x:v>
      </x:c>
      <x:c r="F38" s="1" t="s">
        <x:v>20</x:v>
      </x:c>
      <x:c r="G38" s="1" t="s">
        <x:v>20</x:v>
      </x:c>
      <x:c r="H38" s="1" t="s">
        <x:v>29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30</x:v>
      </x:c>
      <x:c r="F39" s="1" t="s">
        <x:v>20</x:v>
      </x:c>
      <x:c r="G39" s="1" t="s">
        <x:v>20</x:v>
      </x:c>
      <x:c r="H39" s="1" t="s">
        <x:v>31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82</x:v>
      </x:c>
      <x:c r="G40" s="1" t="s">
        <x:v>20</x:v>
      </x:c>
      <x:c r="H40" s="1" t="s">
        <x:v>83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84</x:v>
      </x:c>
      <x:c r="G41" s="1" t="s">
        <x:v>20</x:v>
      </x:c>
      <x:c r="H41" s="1" t="s">
        <x:v>85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20</x:v>
      </x:c>
      <x:c r="G42" s="1" t="s">
        <x:v>86</x:v>
      </x:c>
      <x:c r="H42" s="1" t="s">
        <x:v>20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87</x:v>
      </x:c>
      <x:c r="B43" s="2" t="s">
        <x:v>18</x:v>
      </x:c>
      <x:c r="C43" s="2">
        <x:f>HYPERLINK("https://team-v23u.testit.software/projects/142/tests/511", " пустой e-mail")</x:f>
      </x:c>
      <x:c r="D43" s="1" t="s">
        <x:v>19</x:v>
      </x:c>
      <x:c r="E43" s="1" t="s">
        <x:v>20</x:v>
      </x:c>
      <x:c r="F43" s="1" t="s">
        <x:v>20</x:v>
      </x:c>
      <x:c r="G43" s="1" t="s">
        <x:v>20</x:v>
      </x:c>
      <x:c r="H43" s="1" t="s">
        <x:v>20</x:v>
      </x:c>
      <x:c r="I43" s="1" t="s">
        <x:v>20</x:v>
      </x:c>
      <x:c r="J43" s="1" t="s">
        <x:v>20</x:v>
      </x:c>
      <x:c r="K43" s="1" t="s">
        <x:v>20</x:v>
      </x:c>
      <x:c r="L43" s="1" t="s">
        <x:v>22</x:v>
      </x:c>
      <x:c r="M43" s="1" t="s">
        <x:v>23</x:v>
      </x:c>
      <x:c r="N43" s="1" t="s">
        <x:v>88</x:v>
      </x:c>
      <x:c r="O43" s="1" t="s">
        <x:v>25</x:v>
      </x:c>
      <x:c r="P43" s="1" t="s">
        <x:v>55</x:v>
      </x:c>
      <x:c r="Q43" s="1" t="s">
        <x:v>81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28</x:v>
      </x:c>
      <x:c r="F44" s="1" t="s">
        <x:v>20</x:v>
      </x:c>
      <x:c r="G44" s="1" t="s">
        <x:v>20</x:v>
      </x:c>
      <x:c r="H44" s="1" t="s">
        <x:v>29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30</x:v>
      </x:c>
      <x:c r="F45" s="1" t="s">
        <x:v>20</x:v>
      </x:c>
      <x:c r="G45" s="1" t="s">
        <x:v>20</x:v>
      </x:c>
      <x:c r="H45" s="1" t="s">
        <x:v>31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1" t="s">
        <x:v>89</x:v>
      </x:c>
      <x:c r="G46" s="1" t="s">
        <x:v>20</x:v>
      </x:c>
      <x:c r="H46" s="1" t="s">
        <x:v>90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91</x:v>
      </x:c>
      <x:c r="G47" s="1" t="s">
        <x:v>20</x:v>
      </x:c>
      <x:c r="H47" s="1" t="s">
        <x:v>85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20</x:v>
      </x:c>
      <x:c r="G48" s="1" t="s">
        <x:v>86</x:v>
      </x:c>
      <x:c r="H48" s="1" t="s">
        <x:v>20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92</x:v>
      </x:c>
      <x:c r="B49" s="2" t="s">
        <x:v>18</x:v>
      </x:c>
      <x:c r="C49" s="2">
        <x:f>HYPERLINK("https://team-v23u.testit.software/projects/142/tests/512", " пустой название компании")</x:f>
      </x:c>
      <x:c r="D49" s="1" t="s">
        <x:v>19</x:v>
      </x:c>
      <x:c r="E49" s="1" t="s">
        <x:v>20</x:v>
      </x:c>
      <x:c r="F49" s="1" t="s">
        <x:v>20</x:v>
      </x:c>
      <x:c r="G49" s="1" t="s">
        <x:v>20</x:v>
      </x:c>
      <x:c r="H49" s="1" t="s">
        <x:v>20</x:v>
      </x:c>
      <x:c r="I49" s="1" t="s">
        <x:v>20</x:v>
      </x:c>
      <x:c r="J49" s="1" t="s">
        <x:v>20</x:v>
      </x:c>
      <x:c r="K49" s="1" t="s">
        <x:v>20</x:v>
      </x:c>
      <x:c r="L49" s="1" t="s">
        <x:v>22</x:v>
      </x:c>
      <x:c r="M49" s="1" t="s">
        <x:v>23</x:v>
      </x:c>
      <x:c r="N49" s="1" t="s">
        <x:v>93</x:v>
      </x:c>
      <x:c r="O49" s="1" t="s">
        <x:v>25</x:v>
      </x:c>
      <x:c r="P49" s="1" t="s">
        <x:v>55</x:v>
      </x:c>
      <x:c r="Q49" s="1" t="s">
        <x:v>81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28</x:v>
      </x:c>
      <x:c r="F50" s="1" t="s">
        <x:v>20</x:v>
      </x:c>
      <x:c r="G50" s="1" t="s">
        <x:v>20</x:v>
      </x:c>
      <x:c r="H50" s="1" t="s">
        <x:v>29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30</x:v>
      </x:c>
      <x:c r="F51" s="1" t="s">
        <x:v>20</x:v>
      </x:c>
      <x:c r="G51" s="1" t="s">
        <x:v>20</x:v>
      </x:c>
      <x:c r="H51" s="1" t="s">
        <x:v>31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94</x:v>
      </x:c>
      <x:c r="G52" s="1" t="s">
        <x:v>20</x:v>
      </x:c>
      <x:c r="H52" s="1" t="s">
        <x:v>95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91</x:v>
      </x:c>
      <x:c r="G53" s="1" t="s">
        <x:v>20</x:v>
      </x:c>
      <x:c r="H53" s="1" t="s">
        <x:v>85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20</x:v>
      </x:c>
      <x:c r="B54" s="2" t="s">
        <x:v>20</x:v>
      </x:c>
      <x:c r="C54" s="2" t="s">
        <x:v>20</x:v>
      </x:c>
      <x:c r="D54" s="1" t="s">
        <x:v>20</x:v>
      </x:c>
      <x:c r="E54" s="1" t="s">
        <x:v>20</x:v>
      </x:c>
      <x:c r="F54" s="1" t="s">
        <x:v>20</x:v>
      </x:c>
      <x:c r="G54" s="1" t="s">
        <x:v>86</x:v>
      </x:c>
      <x:c r="H54" s="1" t="s">
        <x:v>20</x:v>
      </x:c>
      <x:c r="I54" s="1" t="s">
        <x:v>20</x:v>
      </x:c>
      <x:c r="J54" s="1" t="s">
        <x:v>20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</x:row>
    <x:row r="55" spans="1:17">
      <x:c r="A55" s="1" t="s">
        <x:v>96</x:v>
      </x:c>
      <x:c r="B55" s="2" t="s">
        <x:v>18</x:v>
      </x:c>
      <x:c r="C55" s="2">
        <x:f>HYPERLINK("https://team-v23u.testit.software/projects/142/tests/513", "  пустой адрес  с городом")</x:f>
      </x:c>
      <x:c r="D55" s="1" t="s">
        <x:v>19</x:v>
      </x:c>
      <x:c r="E55" s="1" t="s">
        <x:v>20</x:v>
      </x:c>
      <x:c r="F55" s="1" t="s">
        <x:v>20</x:v>
      </x:c>
      <x:c r="G55" s="1" t="s">
        <x:v>20</x:v>
      </x:c>
      <x:c r="H55" s="1" t="s">
        <x:v>20</x:v>
      </x:c>
      <x:c r="I55" s="1" t="s">
        <x:v>20</x:v>
      </x:c>
      <x:c r="J55" s="1" t="s">
        <x:v>20</x:v>
      </x:c>
      <x:c r="K55" s="1" t="s">
        <x:v>20</x:v>
      </x:c>
      <x:c r="L55" s="1" t="s">
        <x:v>22</x:v>
      </x:c>
      <x:c r="M55" s="1" t="s">
        <x:v>23</x:v>
      </x:c>
      <x:c r="N55" s="1" t="s">
        <x:v>97</x:v>
      </x:c>
      <x:c r="O55" s="1" t="s">
        <x:v>25</x:v>
      </x:c>
      <x:c r="P55" s="1" t="s">
        <x:v>55</x:v>
      </x:c>
      <x:c r="Q55" s="1" t="s">
        <x:v>81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28</x:v>
      </x:c>
      <x:c r="F56" s="1" t="s">
        <x:v>20</x:v>
      </x:c>
      <x:c r="G56" s="1" t="s">
        <x:v>20</x:v>
      </x:c>
      <x:c r="H56" s="1" t="s">
        <x:v>29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30</x:v>
      </x:c>
      <x:c r="F57" s="1" t="s">
        <x:v>20</x:v>
      </x:c>
      <x:c r="G57" s="1" t="s">
        <x:v>20</x:v>
      </x:c>
      <x:c r="H57" s="1" t="s">
        <x:v>31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20</x:v>
      </x:c>
      <x:c r="F58" s="1" t="s">
        <x:v>98</x:v>
      </x:c>
      <x:c r="G58" s="1" t="s">
        <x:v>20</x:v>
      </x:c>
      <x:c r="H58" s="1" t="s">
        <x:v>99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20</x:v>
      </x:c>
      <x:c r="F59" s="1" t="s">
        <x:v>91</x:v>
      </x:c>
      <x:c r="G59" s="1" t="s">
        <x:v>20</x:v>
      </x:c>
      <x:c r="H59" s="1" t="s">
        <x:v>100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20</x:v>
      </x:c>
      <x:c r="F60" s="1" t="s">
        <x:v>20</x:v>
      </x:c>
      <x:c r="G60" s="1" t="s">
        <x:v>86</x:v>
      </x:c>
      <x:c r="H60" s="1" t="s">
        <x:v>20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101</x:v>
      </x:c>
      <x:c r="B61" s="2" t="s">
        <x:v>18</x:v>
      </x:c>
      <x:c r="C61" s="2">
        <x:f>HYPERLINK("https://team-v23u.testit.software/projects/142/tests/514", "  пустой телефоны")</x:f>
      </x:c>
      <x:c r="D61" s="1" t="s">
        <x:v>19</x:v>
      </x:c>
      <x:c r="E61" s="1" t="s">
        <x:v>20</x:v>
      </x:c>
      <x:c r="F61" s="1" t="s">
        <x:v>20</x:v>
      </x:c>
      <x:c r="G61" s="1" t="s">
        <x:v>20</x:v>
      </x:c>
      <x:c r="H61" s="1" t="s">
        <x:v>20</x:v>
      </x:c>
      <x:c r="I61" s="1" t="s">
        <x:v>20</x:v>
      </x:c>
      <x:c r="J61" s="1" t="s">
        <x:v>20</x:v>
      </x:c>
      <x:c r="K61" s="1" t="s">
        <x:v>20</x:v>
      </x:c>
      <x:c r="L61" s="1" t="s">
        <x:v>22</x:v>
      </x:c>
      <x:c r="M61" s="1" t="s">
        <x:v>23</x:v>
      </x:c>
      <x:c r="N61" s="1" t="s">
        <x:v>102</x:v>
      </x:c>
      <x:c r="O61" s="1" t="s">
        <x:v>25</x:v>
      </x:c>
      <x:c r="P61" s="1" t="s">
        <x:v>55</x:v>
      </x:c>
      <x:c r="Q61" s="1" t="s">
        <x:v>81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28</x:v>
      </x:c>
      <x:c r="F62" s="1" t="s">
        <x:v>20</x:v>
      </x:c>
      <x:c r="G62" s="1" t="s">
        <x:v>20</x:v>
      </x:c>
      <x:c r="H62" s="1" t="s">
        <x:v>29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30</x:v>
      </x:c>
      <x:c r="F63" s="1" t="s">
        <x:v>20</x:v>
      </x:c>
      <x:c r="G63" s="1" t="s">
        <x:v>20</x:v>
      </x:c>
      <x:c r="H63" s="1" t="s">
        <x:v>31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20</x:v>
      </x:c>
      <x:c r="F64" s="1" t="s">
        <x:v>103</x:v>
      </x:c>
      <x:c r="G64" s="1" t="s">
        <x:v>20</x:v>
      </x:c>
      <x:c r="H64" s="1" t="s">
        <x:v>104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84</x:v>
      </x:c>
      <x:c r="G65" s="1" t="s">
        <x:v>20</x:v>
      </x:c>
      <x:c r="H65" s="1" t="s">
        <x:v>100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1" t="s">
        <x:v>20</x:v>
      </x:c>
      <x:c r="G66" s="1" t="s">
        <x:v>86</x:v>
      </x:c>
      <x:c r="H66" s="1" t="s">
        <x:v>20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105</x:v>
      </x:c>
      <x:c r="B67" s="2" t="s">
        <x:v>18</x:v>
      </x:c>
      <x:c r="C67" s="2">
        <x:f>HYPERLINK("https://team-v23u.testit.software/projects/142/tests/515", " пустой сайт")</x:f>
      </x:c>
      <x:c r="D67" s="1" t="s">
        <x:v>19</x:v>
      </x:c>
      <x:c r="E67" s="1" t="s">
        <x:v>20</x:v>
      </x:c>
      <x:c r="F67" s="1" t="s">
        <x:v>20</x:v>
      </x:c>
      <x:c r="G67" s="1" t="s">
        <x:v>20</x:v>
      </x:c>
      <x:c r="H67" s="1" t="s">
        <x:v>20</x:v>
      </x:c>
      <x:c r="I67" s="1" t="s">
        <x:v>20</x:v>
      </x:c>
      <x:c r="J67" s="1" t="s">
        <x:v>20</x:v>
      </x:c>
      <x:c r="K67" s="1" t="s">
        <x:v>20</x:v>
      </x:c>
      <x:c r="L67" s="1" t="s">
        <x:v>22</x:v>
      </x:c>
      <x:c r="M67" s="1" t="s">
        <x:v>23</x:v>
      </x:c>
      <x:c r="N67" s="1" t="s">
        <x:v>106</x:v>
      </x:c>
      <x:c r="O67" s="1" t="s">
        <x:v>25</x:v>
      </x:c>
      <x:c r="P67" s="1" t="s">
        <x:v>55</x:v>
      </x:c>
      <x:c r="Q67" s="1" t="s">
        <x:v>81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28</x:v>
      </x:c>
      <x:c r="F68" s="1" t="s">
        <x:v>20</x:v>
      </x:c>
      <x:c r="G68" s="1" t="s">
        <x:v>20</x:v>
      </x:c>
      <x:c r="H68" s="1" t="s">
        <x:v>29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30</x:v>
      </x:c>
      <x:c r="F69" s="1" t="s">
        <x:v>20</x:v>
      </x:c>
      <x:c r="G69" s="1" t="s">
        <x:v>20</x:v>
      </x:c>
      <x:c r="H69" s="1" t="s">
        <x:v>31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20</x:v>
      </x:c>
      <x:c r="F70" s="1" t="s">
        <x:v>107</x:v>
      </x:c>
      <x:c r="G70" s="1" t="s">
        <x:v>20</x:v>
      </x:c>
      <x:c r="H70" s="1" t="s">
        <x:v>108</x:v>
      </x:c>
      <x:c r="I70" s="1" t="s">
        <x:v>20</x:v>
      </x:c>
      <x:c r="J70" s="1" t="s">
        <x:v>20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20</x:v>
      </x:c>
      <x:c r="B71" s="2" t="s">
        <x:v>20</x:v>
      </x:c>
      <x:c r="C71" s="2" t="s">
        <x:v>20</x:v>
      </x:c>
      <x:c r="D71" s="1" t="s">
        <x:v>20</x:v>
      </x:c>
      <x:c r="E71" s="1" t="s">
        <x:v>20</x:v>
      </x:c>
      <x:c r="F71" s="1" t="s">
        <x:v>91</x:v>
      </x:c>
      <x:c r="G71" s="1" t="s">
        <x:v>20</x:v>
      </x:c>
      <x:c r="H71" s="1" t="s">
        <x:v>100</x:v>
      </x:c>
      <x:c r="I71" s="1" t="s">
        <x:v>20</x:v>
      </x:c>
      <x:c r="J71" s="1" t="s">
        <x:v>20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20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20</x:v>
      </x:c>
      <x:c r="F72" s="1" t="s">
        <x:v>20</x:v>
      </x:c>
      <x:c r="G72" s="1" t="s">
        <x:v>86</x:v>
      </x:c>
      <x:c r="H72" s="1" t="s">
        <x:v>20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Project_стажировка</vt:lpstr>
      <vt:lpstr>Project_стажировка!Print_Area</vt:lpstr>
      <vt:lpstr>Project_стажировка!Print_Titles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