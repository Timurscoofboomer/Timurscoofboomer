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fbf845f7d4a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7048434564feb8115d252f1541f09.psmdcp" Id="Rcf605d6543e94e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9" i="1"/>
  <x:c r="C13" i="1"/>
  <x:c r="C17" i="1"/>
  <x:c r="C21" i="1"/>
  <x:c r="C25" i="1"/>
  <x:c r="C29" i="1"/>
  <x:c r="C33" i="1"/>
  <x:c r="C37" i="1"/>
  <x:c r="C41" i="1"/>
  <x:c r="C45" i="1"/>
  <x:c r="C50" i="1"/>
  <x:c r="C54" i="1"/>
  <x:c r="C60" i="1"/>
  <x:c r="C66" i="1"/>
  <x:c r="C72" i="1"/>
  <x:c r="C78" i="1"/>
  <x:c r="C84" i="1"/>
  <x:c r="C90" i="1"/>
  <x:c r="C96" i="1"/>
  <x:c r="C102" i="1"/>
  <x:c r="C108" i="1"/>
  <x:c r="C114" i="1"/>
  <x:c r="C120" i="1"/>
  <x:c r="C126" i="1"/>
  <x:c r="C132" i="1"/>
  <x:c r="C138" i="1"/>
  <x:c r="C144" i="1"/>
  <x:c r="C150" i="1"/>
  <x:c r="C156" i="1"/>
  <x:c r="C162" i="1"/>
  <x:c r="C168" i="1"/>
  <x:c r="C174" i="1"/>
  <x:c r="C180" i="1"/>
  <x:c r="C186" i="1"/>
  <x:c r="C192" i="1"/>
  <x:c r="C198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<x:sst xmlns:x="http://schemas.openxmlformats.org/spreadsheetml/2006/main">
  <x:si>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</x:si>
  <x:si>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</x:si>
  <x:si>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</x:si>
  <x:si>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</x:si>
  <x:si>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</x:si>
  <x:si>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</x:si>
  <x:si>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</x:si>
  <x:si>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</x:si>
  <x:si>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</x:si>
  <x:si>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</x:si>
  <x:si>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</x:si>
  <x:si>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</x:si>
  <x:si>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</x:si>
  <x:si>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</x:si>
  <x:si>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</x:si>
  <x:si>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</x:si>
  <x:si>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</x:si>
  <x:si>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160</x:t>
  </x:si>
  <x:si>
    <x:t>стажировка -&gt; www.aa.com.tr</x:t>
  </x:si>
  <x:si>
    <x:t>Нет</x:t>
  </x:si>
  <x:si>
    <x:t/>
  </x:si>
  <x:si>
    <x:t>Средний</x:t>
  </x:si>
  <x:si>
    <x:t>Готов</x:t>
  </x:si>
  <x:si>
    <x:t>9/29/2025 16:37:59</x:t>
  </x:si>
  <x:si>
    <x:t>тимур гатауллин</x:t>
  </x:si>
  <x:si>
    <x:t>0h 0m 0s</x:t>
  </x:si>
  <x:si>
    <x:t>открыть сайт www.aa.com.tr</x:t>
  </x:si>
  <x:si>
    <x:t>сайт доступен</x:t>
  </x:si>
  <x:si>
    <x:t>161</x:t>
  </x:si>
  <x:si>
    <x:t>9/29/2025 16:42:01</x:t>
  </x:si>
  <x:si>
    <x:t>0h 1m 0s</x:t>
  </x:si>
  <x:si>
    <x:t>юзабилити</x:t>
  </x:si>
  <x:si>
    <x:t>навести курсор  на логотип</x:t>
  </x:si>
  <x:si>
    <x:t>курсор меняет форму</x:t>
  </x:si>
  <x:si>
    <x:t>кликнуть на логотип</x:t>
  </x:si>
  <x:si>
    <x:t>открывается главная страница</x:t>
  </x:si>
  <x:si>
    <x:t>162</x:t>
  </x:si>
  <x:si>
    <x:t>9/29/2025 16:44:55</x:t>
  </x:si>
  <x:si>
    <x:t>навести курсор на ссылку "Турция”</x:t>
  </x:si>
  <x:si>
    <x:t>кликнуть на ссылку "Турция”</x:t>
  </x:si>
  <x:si>
    <x:t>открывается страница с соответствующим тексту ссылки содержанием</x:t>
  </x:si>
  <x:si>
    <x:t>163</x:t>
  </x:si>
  <x:si>
    <x:t>9/29/2025 16:46:54</x:t>
  </x:si>
  <x:si>
    <x:t>навести курсор на ссылку "Мир”</x:t>
  </x:si>
  <x:si>
    <x:t>кликнуть на ссылку "Мир”</x:t>
  </x:si>
  <x:si>
    <x:t>164</x:t>
  </x:si>
  <x:si>
    <x:t>9/29/2025 16:47:41</x:t>
  </x:si>
  <x:si>
    <x:t>навести курсор на ссылку "Политика”</x:t>
  </x:si>
  <x:si>
    <x:t>кликнуть на ссылку "Политика”</x:t>
  </x:si>
  <x:si>
    <x:t>165</x:t>
  </x:si>
  <x:si>
    <x:t>9/29/2025 16:48:02</x:t>
  </x:si>
  <x:si>
    <x:t>навести курсор на ссылку "Спорт”</x:t>
  </x:si>
  <x:si>
    <x:t>кликнуть на ссылку "Спорта”</x:t>
  </x:si>
  <x:si>
    <x:t>166</x:t>
  </x:si>
  <x:si>
    <x:t>9/29/2025 16:48:22</x:t>
  </x:si>
  <x:si>
    <x:t>навести курсор на ссылку "Экономика”</x:t>
  </x:si>
  <x:si>
    <x:t>кликнуть на ссылку "Экономика”</x:t>
  </x:si>
  <x:si>
    <x:t>167</x:t>
  </x:si>
  <x:si>
    <x:t>9/29/2025 16:48:55</x:t>
  </x:si>
  <x:si>
    <x:t>навести курсор на ссылку "Инфографика”</x:t>
  </x:si>
  <x:si>
    <x:t>кликнуть на ссылку "Инфографика”</x:t>
  </x:si>
  <x:si>
    <x:t>168</x:t>
  </x:si>
  <x:si>
    <x:t>9/29/2025 16:49:18</x:t>
  </x:si>
  <x:si>
    <x:t>навести курсор на ссылку "Видео”</x:t>
  </x:si>
  <x:si>
    <x:t>кликнуть на ссылку "Видео”</x:t>
  </x:si>
  <x:si>
    <x:t>169</x:t>
  </x:si>
  <x:si>
    <x:t>9/29/2025 16:49:46</x:t>
  </x:si>
  <x:si>
    <x:t>навести курсор на ссылку "Фотогалерея”</x:t>
  </x:si>
  <x:si>
    <x:t>кликнуть на ссылку "Фотогалерея”</x:t>
  </x:si>
  <x:si>
    <x:t>170</x:t>
  </x:si>
  <x:si>
    <x:t>9/29/2025 16:52:21</x:t>
  </x:si>
  <x:si>
    <x:t>навести курсор на иконку поиска</x:t>
  </x:si>
  <x:si>
    <x:t>кликнуть на иконку поиска</x:t>
  </x:si>
  <x:si>
    <x:t>появляется поле для введения поискового запроса</x:t>
  </x:si>
  <x:si>
    <x:t>171</x:t>
  </x:si>
  <x:si>
    <x:t>9/29/2025 16:56:57</x:t>
  </x:si>
  <x:si>
    <x:t>0h 2m 0s</x:t>
  </x:si>
  <x:si>
    <x:t>навести курсор на иконку бургер-меню</x:t>
  </x:si>
  <x:si>
    <x:t>кликнуть на иконку бургер-меню</x:t>
  </x:si>
  <x:si>
    <x:t>выпадают пункты меню сайта, иконка бургер-меню сменилась на крестик</x:t>
  </x:si>
  <x:si>
    <x:t>кликнуть на иконку крестика бургер-меню</x:t>
  </x:si>
  <x:si>
    <x:t>бургер-меню закрылось</x:t>
  </x:si>
  <x:si>
    <x:t>172</x:t>
  </x:si>
  <x:si>
    <x:t>9/29/2025 16:58:08</x:t>
  </x:si>
  <x:si>
    <x:t>навести курсор на иконку бургер-меню справа</x:t>
  </x:si>
  <x:si>
    <x:t>173</x:t>
  </x:si>
  <x:si>
    <x:t>9/29/2025 16:59:43</x:t>
  </x:si>
  <x:si>
    <x:t>навести курсор на ссылку "Турция” выпадающего меню</x:t>
  </x:si>
  <x:si>
    <x:t>кликнуть на ссылку</x:t>
  </x:si>
  <x:si>
    <x:t>174</x:t>
  </x:si>
  <x:si>
    <x:t>9/29/2025 17:05:45</x:t>
  </x:si>
  <x:si>
    <x:t>навести курсор на ссылку "Мир” выпадающего меню</x:t>
  </x:si>
  <x:si>
    <x:t>175</x:t>
  </x:si>
  <x:si>
    <x:t>9/29/2025 17:07:43</x:t>
  </x:si>
  <x:si>
    <x:t>навести курсор на ссылку "политика” выпадающего меню</x:t>
  </x:si>
  <x:si>
    <x:t>кликнуть на ссылку "политика”</x:t>
  </x:si>
  <x:si>
    <x:t>176</x:t>
  </x:si>
  <x:si>
    <x:t>9/29/2025 17:08:10</x:t>
  </x:si>
  <x:si>
    <x:t>навести курсор на ссылку "спорт” выпадающего меню</x:t>
  </x:si>
  <x:si>
    <x:t>кликнуть на ссылку "спорт”</x:t>
  </x:si>
  <x:si>
    <x:t>177</x:t>
  </x:si>
  <x:si>
    <x:t>9/29/2025 17:08:28</x:t>
  </x:si>
  <x:si>
    <x:t>навести курсор на ссылку "экономика” выпадающего меню</x:t>
  </x:si>
  <x:si>
    <x:t>кликнуть на ссылку "экономика”</x:t>
  </x:si>
  <x:si>
    <x:t>178</x:t>
  </x:si>
  <x:si>
    <x:t>9/29/2025 17:08:50</x:t>
  </x:si>
  <x:si>
    <x:t>навести курсор на ссылку "инфографика” выпадающего меню</x:t>
  </x:si>
  <x:si>
    <x:t>кликнуть на ссылку "инфографика”</x:t>
  </x:si>
  <x:si>
    <x:t>179</x:t>
  </x:si>
  <x:si>
    <x:t>9/29/2025 17:09:50</x:t>
  </x:si>
  <x:si>
    <x:t>навести курсор на ссылку "фотогалерея” из выпадающего меню</x:t>
  </x:si>
  <x:si>
    <x:t>кликнуть на ссылку "фотогалерея”</x:t>
  </x:si>
  <x:si>
    <x:t>180</x:t>
  </x:si>
  <x:si>
    <x:t>9/29/2025 17:10:43</x:t>
  </x:si>
  <x:si>
    <x:t>навести курсор на ссылку "видео” из выпадающего меню</x:t>
  </x:si>
  <x:si>
    <x:t>кликнуть на ссылку "видео”</x:t>
  </x:si>
  <x:si>
    <x:t>181</x:t>
  </x:si>
  <x:si>
    <x:t>9/29/2025 17:15:44</x:t>
  </x:si>
  <x:si>
    <x:t>навести курсор на ссылку "Новости бизнеса” из выпадающего меню</x:t>
  </x:si>
  <x:si>
    <x:t>открывается окно в новой вкладке с соответствующим тексту ссылки содержанием</x:t>
  </x:si>
  <x:si>
    <x:t>182</x:t>
  </x:si>
  <x:si>
    <x:t>9/29/2025 17:16:32</x:t>
  </x:si>
  <x:si>
    <x:t>навести курсор на ссылку "Финансовый терминал” из выпадающего меню</x:t>
  </x:si>
  <x:si>
    <x:t>183</x:t>
  </x:si>
  <x:si>
    <x:t>9/29/2025 17:17:05</x:t>
  </x:si>
  <x:si>
    <x:t>навести курсор на ссылку "изображения АА” из выпадающего меню</x:t>
  </x:si>
  <x:si>
    <x:t>184</x:t>
  </x:si>
  <x:si>
    <x:t>9/29/2025 17:17:30</x:t>
  </x:si>
  <x:si>
    <x:t>навести курсор на ссылку "Энергетический терминал” из выпадающего меню</x:t>
  </x:si>
  <x:si>
    <x:t>185</x:t>
  </x:si>
  <x:si>
    <x:t>9/29/2025 17:18:52</x:t>
  </x:si>
  <x:si>
    <x:t>навести курсор на ссылку "Новости Академии АА” из выпадающего меню</x:t>
  </x:si>
  <x:si>
    <x:t>186</x:t>
  </x:si>
  <x:si>
    <x:t>9/29/2025 17:19:03</x:t>
  </x:si>
  <x:si>
    <x:t>187</x:t>
  </x:si>
  <x:si>
    <x:t>9/29/2025 17:19:19</x:t>
  </x:si>
  <x:si>
    <x:t>навести курсор на ссылку "Зеленая линия” из выпадающего меню</x:t>
  </x:si>
  <x:si>
    <x:t>188</x:t>
  </x:si>
  <x:si>
    <x:t>9/29/2025 17:20:35</x:t>
  </x:si>
  <x:si>
    <x:t>навести курсор на ссылку "Линия по ксенофобии” из выпадающего меню</x:t>
  </x:si>
  <x:si>
    <x:t>189</x:t>
  </x:si>
  <x:si>
    <x:t>9/29/2025 17:20:51</x:t>
  </x:si>
  <x:si>
    <x:t>навести курсор на ссылку "Линия достоверности” из выпадающего меню</x:t>
  </x:si>
  <x:si>
    <x:t>190</x:t>
  </x:si>
  <x:si>
    <x:t>9/29/2025 17:21:12</x:t>
  </x:si>
  <x:si>
    <x:t>навести курсор на ссылку "Карьера АА” из выпадающего меню</x:t>
  </x:si>
  <x:si>
    <x:t>191</x:t>
  </x:si>
  <x:si>
    <x:t>9/29/2025 17:21:31</x:t>
  </x:si>
  <x:si>
    <x:t>навести курсор на ссылку "Корпоративные новости” из выпадающего меню</x:t>
  </x:si>
  <x:si>
    <x:t>192</x:t>
  </x:si>
  <x:si>
    <x:t>9/29/2025 17:29:40</x:t>
  </x:si>
  <x:si>
    <x:t>0h 10m 0s</x:t>
  </x:si>
  <x:si>
    <x:t>vpn включен</x:t>
  </x:si>
  <x:si>
    <x:t>навести курсор на логотип IV</x:t>
  </x:si>
  <x:si>
    <x:t>курсор сменил форму</x:t>
  </x:si>
  <x:si>
    <x:t>в новой вкладке открывается окно сайта с логотипом, похожим на иконку ссылки</x:t>
  </x:si>
  <x:si>
    <x:t>193</x:t>
  </x:si>
  <x:si>
    <x:t>9/29/2025 17:32:29</x:t>
  </x:si>
  <x:si>
    <x:t>навести курсор на логотип facebook</x:t>
  </x:si>
  <x:si>
    <x:t>в новой вкладке открывается окно сайта facebook с профилем компании тестируемого сайта www.aa.com.tr</x:t>
  </x:si>
  <x:si>
    <x:t>194</x:t>
  </x:si>
  <x:si>
    <x:t>9/29/2025 17:33:16</x:t>
  </x:si>
  <x:si>
    <x:t>навести курсор на логотип X</x:t>
  </x:si>
  <x:si>
    <x:t>в новой вкладке открывается окно сайта соц сети X с профилем компании тестируемого сайта www.aa.com.tr</x:t>
  </x:si>
  <x:si>
    <x:t>195</x:t>
  </x:si>
  <x:si>
    <x:t>9/29/2025 17:34:48</x:t>
  </x:si>
  <x:si>
    <x:t>навести курсор на логотип youtube</x:t>
  </x:si>
  <x:si>
    <x:t>в новой вкладке открывается окно сайта ютуб  с профилем компании тестируемого сайта www.aa.com.tr</x:t>
  </x:si>
  <x:si>
    <x:t>196</x:t>
  </x:si>
  <x:si>
    <x:t>9/29/2025 17:35:22</x:t>
  </x:si>
  <x:si>
    <x:t>навести курсор на логотип инстаграм</x:t>
  </x:si>
  <x:si>
    <x:t>в новой вкладке открывается окно сайта инстаграм  с профилем компании тестируемого сайта www.aa.com.tr</x:t>
  </x:si>
  <x:si>
    <x:t>197</x:t>
  </x:si>
  <x:si>
    <x:t>9/29/2025 17:42:41</x:t>
  </x:si>
  <x:si>
    <x:t>навести курсор на логотип “Edition”</x:t>
  </x:si>
  <x:si>
    <x:t>курсор сменил форму, у логотипа сработал ховер-эффект</x:t>
  </x:si>
  <x:si>
    <x:t>кликнуть на логотип “Edition”</x:t>
  </x:si>
  <x:si>
    <x:t>открылся выпадающий список для выбора доступных языков</x:t>
  </x:si>
  <x:si>
    <x:t>навести курсор на пункт для выбора французского языка</x:t>
  </x:si>
  <x:si>
    <x:t>сработал ховер-эффект</x:t>
  </x:si>
  <x:si>
    <x:t>кликнуть на пункт для выбора французского языка</x:t>
  </x:si>
  <x:si>
    <x:t>язык сайта сменился на французский</x:t>
  </x:si>
  <x:si>
    <x:t>навести курсор на пункт для выбора испанского языка</x:t>
  </x:si>
  <x:si>
    <x:t>кликнуть на пункт для выбора испанского языка</x:t>
  </x:si>
  <x:si>
    <x:t>язык сайта сменился на испанский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</x:si>
</x:sst>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07" totalsRowShown="0">
  <x:autoFilter ref="A1:Q207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07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8.567768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1.139196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HYPERLINK("https://team-v23u.testit.software/projects/142/tests/160", "открытие сайта 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HYPERLINK("https://team-v23u.testit.software/projects/142/tests/161", "логотип")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30</x:v>
      </x:c>
      <x:c r="Q4" s="1" t="s">
        <x:v>31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26</x:v>
      </x:c>
      <x:c r="G6" s="1" t="s">
        <x:v>20</x:v>
      </x:c>
      <x:c r="H6" s="1" t="s">
        <x:v>27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32</x:v>
      </x:c>
      <x:c r="G7" s="1" t="s">
        <x:v>20</x:v>
      </x:c>
      <x:c r="H7" s="1" t="s">
        <x:v>33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34</x:v>
      </x:c>
      <x:c r="G8" s="1" t="s">
        <x:v>20</x:v>
      </x:c>
      <x:c r="H8" s="1" t="s">
        <x:v>35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36</x:v>
      </x:c>
      <x:c r="B9" s="2" t="s">
        <x:v>18</x:v>
      </x:c>
      <x:c r="C9" s="2">
        <x:f>HYPERLINK("https://team-v23u.testit.software/projects/142/tests/162", "Турция")</x:f>
      </x:c>
      <x:c r="D9" s="1" t="s">
        <x:v>19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21</x:v>
      </x:c>
      <x:c r="M9" s="1" t="s">
        <x:v>22</x:v>
      </x:c>
      <x:c r="N9" s="1" t="s">
        <x:v>37</x:v>
      </x:c>
      <x:c r="O9" s="1" t="s">
        <x:v>24</x:v>
      </x:c>
      <x:c r="P9" s="1" t="s">
        <x:v>30</x:v>
      </x:c>
      <x:c r="Q9" s="1" t="s">
        <x:v>31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26</x:v>
      </x:c>
      <x:c r="G10" s="1" t="s">
        <x:v>20</x:v>
      </x:c>
      <x:c r="H10" s="1" t="s">
        <x:v>27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38</x:v>
      </x:c>
      <x:c r="G11" s="1" t="s">
        <x:v>20</x:v>
      </x:c>
      <x:c r="H11" s="1" t="s">
        <x:v>33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39</x:v>
      </x:c>
      <x:c r="G12" s="1" t="s">
        <x:v>20</x:v>
      </x:c>
      <x:c r="H12" s="1" t="s">
        <x:v>40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41</x:v>
      </x:c>
      <x:c r="B13" s="2" t="s">
        <x:v>18</x:v>
      </x:c>
      <x:c r="C13" s="2">
        <x:f>HYPERLINK("https://team-v23u.testit.software/projects/142/tests/163", "Мир")</x:f>
      </x:c>
      <x:c r="D13" s="1" t="s">
        <x:v>19</x:v>
      </x:c>
      <x:c r="E13" s="1" t="s">
        <x:v>20</x:v>
      </x:c>
      <x:c r="F13" s="1" t="s">
        <x:v>20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21</x:v>
      </x:c>
      <x:c r="M13" s="1" t="s">
        <x:v>22</x:v>
      </x:c>
      <x:c r="N13" s="1" t="s">
        <x:v>42</x:v>
      </x:c>
      <x:c r="O13" s="1" t="s">
        <x:v>24</x:v>
      </x:c>
      <x:c r="P13" s="1" t="s">
        <x:v>30</x:v>
      </x:c>
      <x:c r="Q13" s="1" t="s">
        <x:v>31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26</x:v>
      </x:c>
      <x:c r="G14" s="1" t="s">
        <x:v>20</x:v>
      </x:c>
      <x:c r="H14" s="1" t="s">
        <x:v>27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43</x:v>
      </x:c>
      <x:c r="G15" s="1" t="s">
        <x:v>20</x:v>
      </x:c>
      <x:c r="H15" s="1" t="s">
        <x:v>33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44</x:v>
      </x:c>
      <x:c r="G16" s="1" t="s">
        <x:v>20</x:v>
      </x:c>
      <x:c r="H16" s="1" t="s">
        <x:v>40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45</x:v>
      </x:c>
      <x:c r="B17" s="2" t="s">
        <x:v>18</x:v>
      </x:c>
      <x:c r="C17" s="2">
        <x:f>HYPERLINK("https://team-v23u.testit.software/projects/142/tests/164", "Политика")</x:f>
      </x:c>
      <x:c r="D17" s="1" t="s">
        <x:v>19</x:v>
      </x:c>
      <x:c r="E17" s="1" t="s">
        <x:v>20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21</x:v>
      </x:c>
      <x:c r="M17" s="1" t="s">
        <x:v>22</x:v>
      </x:c>
      <x:c r="N17" s="1" t="s">
        <x:v>46</x:v>
      </x:c>
      <x:c r="O17" s="1" t="s">
        <x:v>24</x:v>
      </x:c>
      <x:c r="P17" s="1" t="s">
        <x:v>30</x:v>
      </x:c>
      <x:c r="Q17" s="1" t="s">
        <x:v>31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26</x:v>
      </x:c>
      <x:c r="G18" s="1" t="s">
        <x:v>20</x:v>
      </x:c>
      <x:c r="H18" s="1" t="s">
        <x:v>27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47</x:v>
      </x:c>
      <x:c r="G19" s="1" t="s">
        <x:v>20</x:v>
      </x:c>
      <x:c r="H19" s="1" t="s">
        <x:v>33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48</x:v>
      </x:c>
      <x:c r="G20" s="1" t="s">
        <x:v>20</x:v>
      </x:c>
      <x:c r="H20" s="1" t="s">
        <x:v>40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49</x:v>
      </x:c>
      <x:c r="B21" s="2" t="s">
        <x:v>18</x:v>
      </x:c>
      <x:c r="C21" s="2">
        <x:f>HYPERLINK("https://team-v23u.testit.software/projects/142/tests/165", "Спорт")</x:f>
      </x:c>
      <x:c r="D21" s="1" t="s">
        <x:v>19</x:v>
      </x:c>
      <x:c r="E21" s="1" t="s">
        <x:v>20</x:v>
      </x:c>
      <x:c r="F21" s="1" t="s">
        <x:v>20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21</x:v>
      </x:c>
      <x:c r="M21" s="1" t="s">
        <x:v>22</x:v>
      </x:c>
      <x:c r="N21" s="1" t="s">
        <x:v>50</x:v>
      </x:c>
      <x:c r="O21" s="1" t="s">
        <x:v>24</x:v>
      </x:c>
      <x:c r="P21" s="1" t="s">
        <x:v>30</x:v>
      </x:c>
      <x:c r="Q21" s="1" t="s">
        <x:v>31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26</x:v>
      </x:c>
      <x:c r="G22" s="1" t="s">
        <x:v>20</x:v>
      </x:c>
      <x:c r="H22" s="1" t="s">
        <x:v>27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51</x:v>
      </x:c>
      <x:c r="G23" s="1" t="s">
        <x:v>20</x:v>
      </x:c>
      <x:c r="H23" s="1" t="s">
        <x:v>33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52</x:v>
      </x:c>
      <x:c r="G24" s="1" t="s">
        <x:v>20</x:v>
      </x:c>
      <x:c r="H24" s="1" t="s">
        <x:v>40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53</x:v>
      </x:c>
      <x:c r="B25" s="2" t="s">
        <x:v>18</x:v>
      </x:c>
      <x:c r="C25" s="2">
        <x:f>HYPERLINK("https://team-v23u.testit.software/projects/142/tests/166", "Экономика")</x:f>
      </x:c>
      <x:c r="D25" s="1" t="s">
        <x:v>19</x:v>
      </x:c>
      <x:c r="E25" s="1" t="s">
        <x:v>20</x:v>
      </x:c>
      <x:c r="F25" s="1" t="s">
        <x:v>20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21</x:v>
      </x:c>
      <x:c r="M25" s="1" t="s">
        <x:v>22</x:v>
      </x:c>
      <x:c r="N25" s="1" t="s">
        <x:v>54</x:v>
      </x:c>
      <x:c r="O25" s="1" t="s">
        <x:v>24</x:v>
      </x:c>
      <x:c r="P25" s="1" t="s">
        <x:v>30</x:v>
      </x:c>
      <x:c r="Q25" s="1" t="s">
        <x:v>31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26</x:v>
      </x:c>
      <x:c r="G26" s="1" t="s">
        <x:v>20</x:v>
      </x:c>
      <x:c r="H26" s="1" t="s">
        <x:v>27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55</x:v>
      </x:c>
      <x:c r="G27" s="1" t="s">
        <x:v>20</x:v>
      </x:c>
      <x:c r="H27" s="1" t="s">
        <x:v>33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56</x:v>
      </x:c>
      <x:c r="G28" s="1" t="s">
        <x:v>20</x:v>
      </x:c>
      <x:c r="H28" s="1" t="s">
        <x:v>40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57</x:v>
      </x:c>
      <x:c r="B29" s="2" t="s">
        <x:v>18</x:v>
      </x:c>
      <x:c r="C29" s="2">
        <x:f>HYPERLINK("https://team-v23u.testit.software/projects/142/tests/167", "Инфографика")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22</x:v>
      </x:c>
      <x:c r="N29" s="1" t="s">
        <x:v>58</x:v>
      </x:c>
      <x:c r="O29" s="1" t="s">
        <x:v>24</x:v>
      </x:c>
      <x:c r="P29" s="1" t="s">
        <x:v>30</x:v>
      </x:c>
      <x:c r="Q29" s="1" t="s">
        <x:v>31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26</x:v>
      </x:c>
      <x:c r="G30" s="1" t="s">
        <x:v>20</x:v>
      </x:c>
      <x:c r="H30" s="1" t="s">
        <x:v>27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59</x:v>
      </x:c>
      <x:c r="G31" s="1" t="s">
        <x:v>20</x:v>
      </x:c>
      <x:c r="H31" s="1" t="s">
        <x:v>33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60</x:v>
      </x:c>
      <x:c r="G32" s="1" t="s">
        <x:v>20</x:v>
      </x:c>
      <x:c r="H32" s="1" t="s">
        <x:v>40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61</x:v>
      </x:c>
      <x:c r="B33" s="2" t="s">
        <x:v>18</x:v>
      </x:c>
      <x:c r="C33" s="2">
        <x:f>HYPERLINK("https://team-v23u.testit.software/projects/142/tests/168", "Видео")</x:f>
      </x:c>
      <x:c r="D33" s="1" t="s">
        <x:v>19</x:v>
      </x:c>
      <x:c r="E33" s="1" t="s">
        <x:v>20</x:v>
      </x:c>
      <x:c r="F33" s="1" t="s">
        <x:v>20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21</x:v>
      </x:c>
      <x:c r="M33" s="1" t="s">
        <x:v>22</x:v>
      </x:c>
      <x:c r="N33" s="1" t="s">
        <x:v>62</x:v>
      </x:c>
      <x:c r="O33" s="1" t="s">
        <x:v>24</x:v>
      </x:c>
      <x:c r="P33" s="1" t="s">
        <x:v>30</x:v>
      </x:c>
      <x:c r="Q33" s="1" t="s">
        <x:v>31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26</x:v>
      </x:c>
      <x:c r="G34" s="1" t="s">
        <x:v>20</x:v>
      </x:c>
      <x:c r="H34" s="1" t="s">
        <x:v>27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63</x:v>
      </x:c>
      <x:c r="G35" s="1" t="s">
        <x:v>20</x:v>
      </x:c>
      <x:c r="H35" s="1" t="s">
        <x:v>33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64</x:v>
      </x:c>
      <x:c r="G36" s="1" t="s">
        <x:v>20</x:v>
      </x:c>
      <x:c r="H36" s="1" t="s">
        <x:v>40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65</x:v>
      </x:c>
      <x:c r="B37" s="2" t="s">
        <x:v>18</x:v>
      </x:c>
      <x:c r="C37" s="2">
        <x:f>HYPERLINK("https://team-v23u.testit.software/projects/142/tests/169", "Фотогалерея")</x:f>
      </x:c>
      <x:c r="D37" s="1" t="s">
        <x:v>19</x:v>
      </x:c>
      <x:c r="E37" s="1" t="s">
        <x:v>20</x:v>
      </x:c>
      <x:c r="F37" s="1" t="s">
        <x:v>20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21</x:v>
      </x:c>
      <x:c r="M37" s="1" t="s">
        <x:v>22</x:v>
      </x:c>
      <x:c r="N37" s="1" t="s">
        <x:v>66</x:v>
      </x:c>
      <x:c r="O37" s="1" t="s">
        <x:v>24</x:v>
      </x:c>
      <x:c r="P37" s="1" t="s">
        <x:v>30</x:v>
      </x:c>
      <x:c r="Q37" s="1" t="s">
        <x:v>31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26</x:v>
      </x:c>
      <x:c r="G38" s="1" t="s">
        <x:v>20</x:v>
      </x:c>
      <x:c r="H38" s="1" t="s">
        <x:v>27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67</x:v>
      </x:c>
      <x:c r="G39" s="1" t="s">
        <x:v>20</x:v>
      </x:c>
      <x:c r="H39" s="1" t="s">
        <x:v>33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68</x:v>
      </x:c>
      <x:c r="G40" s="1" t="s">
        <x:v>20</x:v>
      </x:c>
      <x:c r="H40" s="1" t="s">
        <x:v>40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69</x:v>
      </x:c>
      <x:c r="B41" s="2" t="s">
        <x:v>18</x:v>
      </x:c>
      <x:c r="C41" s="2">
        <x:f>HYPERLINK("https://team-v23u.testit.software/projects/142/tests/170", "Поиск")</x:f>
      </x:c>
      <x:c r="D41" s="1" t="s">
        <x:v>19</x:v>
      </x:c>
      <x:c r="E41" s="1" t="s">
        <x:v>20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21</x:v>
      </x:c>
      <x:c r="M41" s="1" t="s">
        <x:v>22</x:v>
      </x:c>
      <x:c r="N41" s="1" t="s">
        <x:v>70</x:v>
      </x:c>
      <x:c r="O41" s="1" t="s">
        <x:v>24</x:v>
      </x:c>
      <x:c r="P41" s="1" t="s">
        <x:v>30</x:v>
      </x:c>
      <x:c r="Q41" s="1" t="s">
        <x:v>31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26</x:v>
      </x:c>
      <x:c r="G42" s="1" t="s">
        <x:v>20</x:v>
      </x:c>
      <x:c r="H42" s="1" t="s">
        <x:v>27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71</x:v>
      </x:c>
      <x:c r="G43" s="1" t="s">
        <x:v>20</x:v>
      </x:c>
      <x:c r="H43" s="1" t="s">
        <x:v>33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72</x:v>
      </x:c>
      <x:c r="G44" s="1" t="s">
        <x:v>20</x:v>
      </x:c>
      <x:c r="H44" s="1" t="s">
        <x:v>73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74</x:v>
      </x:c>
      <x:c r="B45" s="2" t="s">
        <x:v>18</x:v>
      </x:c>
      <x:c r="C45" s="2">
        <x:f>HYPERLINK("https://team-v23u.testit.software/projects/142/tests/171", "Бургер меню")</x:f>
      </x:c>
      <x:c r="D45" s="1" t="s">
        <x:v>19</x:v>
      </x:c>
      <x:c r="E45" s="1" t="s">
        <x:v>20</x:v>
      </x:c>
      <x:c r="F45" s="1" t="s">
        <x:v>20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21</x:v>
      </x:c>
      <x:c r="M45" s="1" t="s">
        <x:v>22</x:v>
      </x:c>
      <x:c r="N45" s="1" t="s">
        <x:v>75</x:v>
      </x:c>
      <x:c r="O45" s="1" t="s">
        <x:v>24</x:v>
      </x:c>
      <x:c r="P45" s="1" t="s">
        <x:v>76</x:v>
      </x:c>
      <x:c r="Q45" s="1" t="s">
        <x:v>31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26</x:v>
      </x:c>
      <x:c r="G46" s="1" t="s">
        <x:v>20</x:v>
      </x:c>
      <x:c r="H46" s="1" t="s">
        <x:v>27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77</x:v>
      </x:c>
      <x:c r="G47" s="1" t="s">
        <x:v>20</x:v>
      </x:c>
      <x:c r="H47" s="1" t="s">
        <x:v>33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78</x:v>
      </x:c>
      <x:c r="G48" s="1" t="s">
        <x:v>20</x:v>
      </x:c>
      <x:c r="H48" s="1" t="s">
        <x:v>79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80</x:v>
      </x:c>
      <x:c r="G49" s="1" t="s">
        <x:v>20</x:v>
      </x:c>
      <x:c r="H49" s="1" t="s">
        <x:v>81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82</x:v>
      </x:c>
      <x:c r="B50" s="2" t="s">
        <x:v>18</x:v>
      </x:c>
      <x:c r="C50" s="2">
        <x:f>HYPERLINK("https://team-v23u.testit.software/projects/142/tests/172", "открытие бургера")</x:f>
      </x:c>
      <x:c r="D50" s="1" t="s">
        <x:v>19</x:v>
      </x:c>
      <x:c r="E50" s="1" t="s">
        <x:v>20</x:v>
      </x:c>
      <x:c r="F50" s="1" t="s">
        <x:v>20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21</x:v>
      </x:c>
      <x:c r="M50" s="1" t="s">
        <x:v>22</x:v>
      </x:c>
      <x:c r="N50" s="1" t="s">
        <x:v>83</x:v>
      </x:c>
      <x:c r="O50" s="1" t="s">
        <x:v>24</x:v>
      </x:c>
      <x:c r="P50" s="1" t="s">
        <x:v>25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26</x:v>
      </x:c>
      <x:c r="G51" s="1" t="s">
        <x:v>20</x:v>
      </x:c>
      <x:c r="H51" s="1" t="s">
        <x:v>27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84</x:v>
      </x:c>
      <x:c r="G52" s="1" t="s">
        <x:v>20</x:v>
      </x:c>
      <x:c r="H52" s="1" t="s">
        <x:v>33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78</x:v>
      </x:c>
      <x:c r="G53" s="1" t="s">
        <x:v>20</x:v>
      </x:c>
      <x:c r="H53" s="1" t="s">
        <x:v>79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85</x:v>
      </x:c>
      <x:c r="B54" s="2" t="s">
        <x:v>18</x:v>
      </x:c>
      <x:c r="C54" s="2">
        <x:f>HYPERLINK("https://team-v23u.testit.software/projects/142/tests/173", "турция бургер меню")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21</x:v>
      </x:c>
      <x:c r="M54" s="1" t="s">
        <x:v>22</x:v>
      </x:c>
      <x:c r="N54" s="1" t="s">
        <x:v>86</x:v>
      </x:c>
      <x:c r="O54" s="1" t="s">
        <x:v>24</x:v>
      </x:c>
      <x:c r="P54" s="1" t="s">
        <x:v>30</x:v>
      </x:c>
      <x:c r="Q54" s="1" t="s">
        <x:v>31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26</x:v>
      </x:c>
      <x:c r="G55" s="1" t="s">
        <x:v>20</x:v>
      </x:c>
      <x:c r="H55" s="1" t="s">
        <x:v>27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84</x:v>
      </x:c>
      <x:c r="G56" s="1" t="s">
        <x:v>20</x:v>
      </x:c>
      <x:c r="H56" s="1" t="s">
        <x:v>33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78</x:v>
      </x:c>
      <x:c r="G57" s="1" t="s">
        <x:v>20</x:v>
      </x:c>
      <x:c r="H57" s="1" t="s">
        <x:v>79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87</x:v>
      </x:c>
      <x:c r="G58" s="1" t="s">
        <x:v>20</x:v>
      </x:c>
      <x:c r="H58" s="1" t="s">
        <x:v>33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88</x:v>
      </x:c>
      <x:c r="G59" s="1" t="s">
        <x:v>20</x:v>
      </x:c>
      <x:c r="H59" s="1" t="s">
        <x:v>40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89</x:v>
      </x:c>
      <x:c r="B60" s="2" t="s">
        <x:v>18</x:v>
      </x:c>
      <x:c r="C60" s="2">
        <x:f>HYPERLINK("https://team-v23u.testit.software/projects/142/tests/174", "Мир бургер меню")</x:f>
      </x:c>
      <x:c r="D60" s="1" t="s">
        <x:v>19</x:v>
      </x:c>
      <x:c r="E60" s="1" t="s">
        <x:v>20</x:v>
      </x:c>
      <x:c r="F60" s="1" t="s">
        <x:v>20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21</x:v>
      </x:c>
      <x:c r="M60" s="1" t="s">
        <x:v>22</x:v>
      </x:c>
      <x:c r="N60" s="1" t="s">
        <x:v>90</x:v>
      </x:c>
      <x:c r="O60" s="1" t="s">
        <x:v>24</x:v>
      </x:c>
      <x:c r="P60" s="1" t="s">
        <x:v>30</x:v>
      </x:c>
      <x:c r="Q60" s="1" t="s">
        <x:v>31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26</x:v>
      </x:c>
      <x:c r="G61" s="1" t="s">
        <x:v>20</x:v>
      </x:c>
      <x:c r="H61" s="1" t="s">
        <x:v>27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84</x:v>
      </x:c>
      <x:c r="G62" s="1" t="s">
        <x:v>20</x:v>
      </x:c>
      <x:c r="H62" s="1" t="s">
        <x:v>33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78</x:v>
      </x:c>
      <x:c r="G63" s="1" t="s">
        <x:v>20</x:v>
      </x:c>
      <x:c r="H63" s="1" t="s">
        <x:v>79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91</x:v>
      </x:c>
      <x:c r="G64" s="1" t="s">
        <x:v>20</x:v>
      </x:c>
      <x:c r="H64" s="1" t="s">
        <x:v>33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44</x:v>
      </x:c>
      <x:c r="G65" s="1" t="s">
        <x:v>20</x:v>
      </x:c>
      <x:c r="H65" s="1" t="s">
        <x:v>40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92</x:v>
      </x:c>
      <x:c r="B66" s="2" t="s">
        <x:v>18</x:v>
      </x:c>
      <x:c r="C66" s="2">
        <x:f>HYPERLINK("https://team-v23u.testit.software/projects/142/tests/175", "политика бургер меню")</x:f>
      </x:c>
      <x:c r="D66" s="1" t="s">
        <x:v>19</x:v>
      </x:c>
      <x:c r="E66" s="1" t="s">
        <x:v>20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21</x:v>
      </x:c>
      <x:c r="M66" s="1" t="s">
        <x:v>22</x:v>
      </x:c>
      <x:c r="N66" s="1" t="s">
        <x:v>93</x:v>
      </x:c>
      <x:c r="O66" s="1" t="s">
        <x:v>24</x:v>
      </x:c>
      <x:c r="P66" s="1" t="s">
        <x:v>30</x:v>
      </x:c>
      <x:c r="Q66" s="1" t="s">
        <x:v>31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26</x:v>
      </x:c>
      <x:c r="G67" s="1" t="s">
        <x:v>20</x:v>
      </x:c>
      <x:c r="H67" s="1" t="s">
        <x:v>27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84</x:v>
      </x:c>
      <x:c r="G68" s="1" t="s">
        <x:v>20</x:v>
      </x:c>
      <x:c r="H68" s="1" t="s">
        <x:v>33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78</x:v>
      </x:c>
      <x:c r="G69" s="1" t="s">
        <x:v>20</x:v>
      </x:c>
      <x:c r="H69" s="1" t="s">
        <x:v>79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94</x:v>
      </x:c>
      <x:c r="G70" s="1" t="s">
        <x:v>20</x:v>
      </x:c>
      <x:c r="H70" s="1" t="s">
        <x:v>33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95</x:v>
      </x:c>
      <x:c r="G71" s="1" t="s">
        <x:v>20</x:v>
      </x:c>
      <x:c r="H71" s="1" t="s">
        <x:v>40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96</x:v>
      </x:c>
      <x:c r="B72" s="2" t="s">
        <x:v>18</x:v>
      </x:c>
      <x:c r="C72" s="2">
        <x:f>HYPERLINK("https://team-v23u.testit.software/projects/142/tests/176", "спорт бургер меню")</x:f>
      </x:c>
      <x:c r="D72" s="1" t="s">
        <x:v>19</x:v>
      </x:c>
      <x:c r="E72" s="1" t="s">
        <x:v>20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21</x:v>
      </x:c>
      <x:c r="M72" s="1" t="s">
        <x:v>22</x:v>
      </x:c>
      <x:c r="N72" s="1" t="s">
        <x:v>97</x:v>
      </x:c>
      <x:c r="O72" s="1" t="s">
        <x:v>24</x:v>
      </x:c>
      <x:c r="P72" s="1" t="s">
        <x:v>30</x:v>
      </x:c>
      <x:c r="Q72" s="1" t="s">
        <x:v>31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26</x:v>
      </x:c>
      <x:c r="G73" s="1" t="s">
        <x:v>20</x:v>
      </x:c>
      <x:c r="H73" s="1" t="s">
        <x:v>27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84</x:v>
      </x:c>
      <x:c r="G74" s="1" t="s">
        <x:v>20</x:v>
      </x:c>
      <x:c r="H74" s="1" t="s">
        <x:v>33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78</x:v>
      </x:c>
      <x:c r="G75" s="1" t="s">
        <x:v>20</x:v>
      </x:c>
      <x:c r="H75" s="1" t="s">
        <x:v>79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98</x:v>
      </x:c>
      <x:c r="G76" s="1" t="s">
        <x:v>20</x:v>
      </x:c>
      <x:c r="H76" s="1" t="s">
        <x:v>33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99</x:v>
      </x:c>
      <x:c r="G77" s="1" t="s">
        <x:v>20</x:v>
      </x:c>
      <x:c r="H77" s="1" t="s">
        <x:v>40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100</x:v>
      </x:c>
      <x:c r="B78" s="2" t="s">
        <x:v>18</x:v>
      </x:c>
      <x:c r="C78" s="2">
        <x:f>HYPERLINK("https://team-v23u.testit.software/projects/142/tests/177", "экономика бургер меню")</x:f>
      </x:c>
      <x:c r="D78" s="1" t="s">
        <x:v>19</x:v>
      </x:c>
      <x:c r="E78" s="1" t="s">
        <x:v>20</x:v>
      </x:c>
      <x:c r="F78" s="1" t="s">
        <x:v>20</x:v>
      </x:c>
      <x:c r="G78" s="1" t="s">
        <x:v>20</x:v>
      </x:c>
      <x:c r="H78" s="1" t="s">
        <x:v>20</x:v>
      </x:c>
      <x:c r="I78" s="1" t="s">
        <x:v>20</x:v>
      </x:c>
      <x:c r="J78" s="1" t="s">
        <x:v>20</x:v>
      </x:c>
      <x:c r="K78" s="1" t="s">
        <x:v>20</x:v>
      </x:c>
      <x:c r="L78" s="1" t="s">
        <x:v>21</x:v>
      </x:c>
      <x:c r="M78" s="1" t="s">
        <x:v>22</x:v>
      </x:c>
      <x:c r="N78" s="1" t="s">
        <x:v>101</x:v>
      </x:c>
      <x:c r="O78" s="1" t="s">
        <x:v>24</x:v>
      </x:c>
      <x:c r="P78" s="1" t="s">
        <x:v>30</x:v>
      </x:c>
      <x:c r="Q78" s="1" t="s">
        <x:v>31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26</x:v>
      </x:c>
      <x:c r="G79" s="1" t="s">
        <x:v>20</x:v>
      </x:c>
      <x:c r="H79" s="1" t="s">
        <x:v>27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84</x:v>
      </x:c>
      <x:c r="G80" s="1" t="s">
        <x:v>20</x:v>
      </x:c>
      <x:c r="H80" s="1" t="s">
        <x:v>33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78</x:v>
      </x:c>
      <x:c r="G81" s="1" t="s">
        <x:v>20</x:v>
      </x:c>
      <x:c r="H81" s="1" t="s">
        <x:v>79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102</x:v>
      </x:c>
      <x:c r="G82" s="1" t="s">
        <x:v>20</x:v>
      </x:c>
      <x:c r="H82" s="1" t="s">
        <x:v>33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103</x:v>
      </x:c>
      <x:c r="G83" s="1" t="s">
        <x:v>20</x:v>
      </x:c>
      <x:c r="H83" s="1" t="s">
        <x:v>40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104</x:v>
      </x:c>
      <x:c r="B84" s="2" t="s">
        <x:v>18</x:v>
      </x:c>
      <x:c r="C84" s="2">
        <x:f>HYPERLINK("https://team-v23u.testit.software/projects/142/tests/178", "инфографика бургер меню")</x:f>
      </x:c>
      <x:c r="D84" s="1" t="s">
        <x:v>19</x:v>
      </x:c>
      <x:c r="E84" s="1" t="s">
        <x:v>20</x:v>
      </x:c>
      <x:c r="F84" s="1" t="s">
        <x:v>20</x:v>
      </x:c>
      <x:c r="G84" s="1" t="s">
        <x:v>20</x:v>
      </x:c>
      <x:c r="H84" s="1" t="s">
        <x:v>20</x:v>
      </x:c>
      <x:c r="I84" s="1" t="s">
        <x:v>20</x:v>
      </x:c>
      <x:c r="J84" s="1" t="s">
        <x:v>20</x:v>
      </x:c>
      <x:c r="K84" s="1" t="s">
        <x:v>20</x:v>
      </x:c>
      <x:c r="L84" s="1" t="s">
        <x:v>21</x:v>
      </x:c>
      <x:c r="M84" s="1" t="s">
        <x:v>22</x:v>
      </x:c>
      <x:c r="N84" s="1" t="s">
        <x:v>105</x:v>
      </x:c>
      <x:c r="O84" s="1" t="s">
        <x:v>24</x:v>
      </x:c>
      <x:c r="P84" s="1" t="s">
        <x:v>30</x:v>
      </x:c>
      <x:c r="Q84" s="1" t="s">
        <x:v>31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26</x:v>
      </x:c>
      <x:c r="G85" s="1" t="s">
        <x:v>20</x:v>
      </x:c>
      <x:c r="H85" s="1" t="s">
        <x:v>27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84</x:v>
      </x:c>
      <x:c r="G86" s="1" t="s">
        <x:v>20</x:v>
      </x:c>
      <x:c r="H86" s="1" t="s">
        <x:v>33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78</x:v>
      </x:c>
      <x:c r="G87" s="1" t="s">
        <x:v>20</x:v>
      </x:c>
      <x:c r="H87" s="1" t="s">
        <x:v>79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106</x:v>
      </x:c>
      <x:c r="G88" s="1" t="s">
        <x:v>20</x:v>
      </x:c>
      <x:c r="H88" s="1" t="s">
        <x:v>33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107</x:v>
      </x:c>
      <x:c r="G89" s="1" t="s">
        <x:v>20</x:v>
      </x:c>
      <x:c r="H89" s="1" t="s">
        <x:v>40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108</x:v>
      </x:c>
      <x:c r="B90" s="2" t="s">
        <x:v>18</x:v>
      </x:c>
      <x:c r="C90" s="2">
        <x:f>HYPERLINK("https://team-v23u.testit.software/projects/142/tests/179", "фотогалерея бургер меню")</x:f>
      </x:c>
      <x:c r="D90" s="1" t="s">
        <x:v>19</x:v>
      </x:c>
      <x:c r="E90" s="1" t="s">
        <x:v>20</x:v>
      </x:c>
      <x:c r="F90" s="1" t="s">
        <x:v>20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21</x:v>
      </x:c>
      <x:c r="M90" s="1" t="s">
        <x:v>22</x:v>
      </x:c>
      <x:c r="N90" s="1" t="s">
        <x:v>109</x:v>
      </x:c>
      <x:c r="O90" s="1" t="s">
        <x:v>24</x:v>
      </x:c>
      <x:c r="P90" s="1" t="s">
        <x:v>30</x:v>
      </x:c>
      <x:c r="Q90" s="1" t="s">
        <x:v>31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26</x:v>
      </x:c>
      <x:c r="G91" s="1" t="s">
        <x:v>20</x:v>
      </x:c>
      <x:c r="H91" s="1" t="s">
        <x:v>27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84</x:v>
      </x:c>
      <x:c r="G92" s="1" t="s">
        <x:v>20</x:v>
      </x:c>
      <x:c r="H92" s="1" t="s">
        <x:v>33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78</x:v>
      </x:c>
      <x:c r="G93" s="1" t="s">
        <x:v>20</x:v>
      </x:c>
      <x:c r="H93" s="1" t="s">
        <x:v>79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110</x:v>
      </x:c>
      <x:c r="G94" s="1" t="s">
        <x:v>20</x:v>
      </x:c>
      <x:c r="H94" s="1" t="s">
        <x:v>33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111</x:v>
      </x:c>
      <x:c r="G95" s="1" t="s">
        <x:v>20</x:v>
      </x:c>
      <x:c r="H95" s="1" t="s">
        <x:v>40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112</x:v>
      </x:c>
      <x:c r="B96" s="2" t="s">
        <x:v>18</x:v>
      </x:c>
      <x:c r="C96" s="2">
        <x:f>HYPERLINK("https://team-v23u.testit.software/projects/142/tests/180", "видео бургер меню")</x:f>
      </x:c>
      <x:c r="D96" s="1" t="s">
        <x:v>19</x:v>
      </x:c>
      <x:c r="E96" s="1" t="s">
        <x:v>20</x:v>
      </x:c>
      <x:c r="F96" s="1" t="s">
        <x:v>20</x:v>
      </x:c>
      <x:c r="G96" s="1" t="s">
        <x:v>20</x:v>
      </x:c>
      <x:c r="H96" s="1" t="s">
        <x:v>20</x:v>
      </x:c>
      <x:c r="I96" s="1" t="s">
        <x:v>20</x:v>
      </x:c>
      <x:c r="J96" s="1" t="s">
        <x:v>20</x:v>
      </x:c>
      <x:c r="K96" s="1" t="s">
        <x:v>20</x:v>
      </x:c>
      <x:c r="L96" s="1" t="s">
        <x:v>21</x:v>
      </x:c>
      <x:c r="M96" s="1" t="s">
        <x:v>22</x:v>
      </x:c>
      <x:c r="N96" s="1" t="s">
        <x:v>113</x:v>
      </x:c>
      <x:c r="O96" s="1" t="s">
        <x:v>24</x:v>
      </x:c>
      <x:c r="P96" s="1" t="s">
        <x:v>30</x:v>
      </x:c>
      <x:c r="Q96" s="1" t="s">
        <x:v>31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26</x:v>
      </x:c>
      <x:c r="G97" s="1" t="s">
        <x:v>20</x:v>
      </x:c>
      <x:c r="H97" s="1" t="s">
        <x:v>27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84</x:v>
      </x:c>
      <x:c r="G98" s="1" t="s">
        <x:v>20</x:v>
      </x:c>
      <x:c r="H98" s="1" t="s">
        <x:v>33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78</x:v>
      </x:c>
      <x:c r="G99" s="1" t="s">
        <x:v>20</x:v>
      </x:c>
      <x:c r="H99" s="1" t="s">
        <x:v>79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114</x:v>
      </x:c>
      <x:c r="G100" s="1" t="s">
        <x:v>20</x:v>
      </x:c>
      <x:c r="H100" s="1" t="s">
        <x:v>33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115</x:v>
      </x:c>
      <x:c r="G101" s="1" t="s">
        <x:v>20</x:v>
      </x:c>
      <x:c r="H101" s="1" t="s">
        <x:v>40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116</x:v>
      </x:c>
      <x:c r="B102" s="2" t="s">
        <x:v>18</x:v>
      </x:c>
      <x:c r="C102" s="2">
        <x:f>HYPERLINK("https://team-v23u.testit.software/projects/142/tests/181", "Новости Бизнеса бургер меню")</x:f>
      </x:c>
      <x:c r="D102" s="1" t="s">
        <x:v>19</x:v>
      </x:c>
      <x:c r="E102" s="1" t="s">
        <x:v>20</x:v>
      </x:c>
      <x:c r="F102" s="1" t="s">
        <x:v>20</x:v>
      </x:c>
      <x:c r="G102" s="1" t="s">
        <x:v>20</x:v>
      </x:c>
      <x:c r="H102" s="1" t="s">
        <x:v>20</x:v>
      </x:c>
      <x:c r="I102" s="1" t="s">
        <x:v>20</x:v>
      </x:c>
      <x:c r="J102" s="1" t="s">
        <x:v>20</x:v>
      </x:c>
      <x:c r="K102" s="1" t="s">
        <x:v>20</x:v>
      </x:c>
      <x:c r="L102" s="1" t="s">
        <x:v>21</x:v>
      </x:c>
      <x:c r="M102" s="1" t="s">
        <x:v>22</x:v>
      </x:c>
      <x:c r="N102" s="1" t="s">
        <x:v>117</x:v>
      </x:c>
      <x:c r="O102" s="1" t="s">
        <x:v>24</x:v>
      </x:c>
      <x:c r="P102" s="1" t="s">
        <x:v>30</x:v>
      </x:c>
      <x:c r="Q102" s="1" t="s">
        <x:v>31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26</x:v>
      </x:c>
      <x:c r="G103" s="1" t="s">
        <x:v>20</x:v>
      </x:c>
      <x:c r="H103" s="1" t="s">
        <x:v>27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84</x:v>
      </x:c>
      <x:c r="G104" s="1" t="s">
        <x:v>20</x:v>
      </x:c>
      <x:c r="H104" s="1" t="s">
        <x:v>33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78</x:v>
      </x:c>
      <x:c r="G105" s="1" t="s">
        <x:v>20</x:v>
      </x:c>
      <x:c r="H105" s="1" t="s">
        <x:v>79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118</x:v>
      </x:c>
      <x:c r="G106" s="1" t="s">
        <x:v>20</x:v>
      </x:c>
      <x:c r="H106" s="1" t="s">
        <x:v>33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88</x:v>
      </x:c>
      <x:c r="G107" s="1" t="s">
        <x:v>20</x:v>
      </x:c>
      <x:c r="H107" s="1" t="s">
        <x:v>119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120</x:v>
      </x:c>
      <x:c r="B108" s="2" t="s">
        <x:v>18</x:v>
      </x:c>
      <x:c r="C108" s="2">
        <x:f>HYPERLINK("https://team-v23u.testit.software/projects/142/tests/182", "Финансовый терминал  бургер меню")</x:f>
      </x:c>
      <x:c r="D108" s="1" t="s">
        <x:v>19</x:v>
      </x:c>
      <x:c r="E108" s="1" t="s">
        <x:v>20</x:v>
      </x:c>
      <x:c r="F108" s="1" t="s">
        <x:v>20</x:v>
      </x:c>
      <x:c r="G108" s="1" t="s">
        <x:v>20</x:v>
      </x:c>
      <x:c r="H108" s="1" t="s">
        <x:v>20</x:v>
      </x:c>
      <x:c r="I108" s="1" t="s">
        <x:v>20</x:v>
      </x:c>
      <x:c r="J108" s="1" t="s">
        <x:v>20</x:v>
      </x:c>
      <x:c r="K108" s="1" t="s">
        <x:v>20</x:v>
      </x:c>
      <x:c r="L108" s="1" t="s">
        <x:v>21</x:v>
      </x:c>
      <x:c r="M108" s="1" t="s">
        <x:v>22</x:v>
      </x:c>
      <x:c r="N108" s="1" t="s">
        <x:v>121</x:v>
      </x:c>
      <x:c r="O108" s="1" t="s">
        <x:v>24</x:v>
      </x:c>
      <x:c r="P108" s="1" t="s">
        <x:v>30</x:v>
      </x:c>
      <x:c r="Q108" s="1" t="s">
        <x:v>31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26</x:v>
      </x:c>
      <x:c r="G109" s="1" t="s">
        <x:v>20</x:v>
      </x:c>
      <x:c r="H109" s="1" t="s">
        <x:v>27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84</x:v>
      </x:c>
      <x:c r="G110" s="1" t="s">
        <x:v>20</x:v>
      </x:c>
      <x:c r="H110" s="1" t="s">
        <x:v>33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78</x:v>
      </x:c>
      <x:c r="G111" s="1" t="s">
        <x:v>20</x:v>
      </x:c>
      <x:c r="H111" s="1" t="s">
        <x:v>79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122</x:v>
      </x:c>
      <x:c r="G112" s="1" t="s">
        <x:v>20</x:v>
      </x:c>
      <x:c r="H112" s="1" t="s">
        <x:v>33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88</x:v>
      </x:c>
      <x:c r="G113" s="1" t="s">
        <x:v>20</x:v>
      </x:c>
      <x:c r="H113" s="1" t="s">
        <x:v>119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123</x:v>
      </x:c>
      <x:c r="B114" s="2" t="s">
        <x:v>18</x:v>
      </x:c>
      <x:c r="C114" s="2">
        <x:f>HYPERLINK("https://team-v23u.testit.software/projects/142/tests/183", "изображения АА  бургер меню")</x:f>
      </x:c>
      <x:c r="D114" s="1" t="s">
        <x:v>19</x:v>
      </x:c>
      <x:c r="E114" s="1" t="s">
        <x:v>20</x:v>
      </x:c>
      <x:c r="F114" s="1" t="s">
        <x:v>20</x:v>
      </x:c>
      <x:c r="G114" s="1" t="s">
        <x:v>20</x:v>
      </x:c>
      <x:c r="H114" s="1" t="s">
        <x:v>20</x:v>
      </x:c>
      <x:c r="I114" s="1" t="s">
        <x:v>20</x:v>
      </x:c>
      <x:c r="J114" s="1" t="s">
        <x:v>20</x:v>
      </x:c>
      <x:c r="K114" s="1" t="s">
        <x:v>20</x:v>
      </x:c>
      <x:c r="L114" s="1" t="s">
        <x:v>21</x:v>
      </x:c>
      <x:c r="M114" s="1" t="s">
        <x:v>22</x:v>
      </x:c>
      <x:c r="N114" s="1" t="s">
        <x:v>124</x:v>
      </x:c>
      <x:c r="O114" s="1" t="s">
        <x:v>24</x:v>
      </x:c>
      <x:c r="P114" s="1" t="s">
        <x:v>30</x:v>
      </x:c>
      <x:c r="Q114" s="1" t="s">
        <x:v>31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20</x:v>
      </x:c>
      <x:c r="F115" s="1" t="s">
        <x:v>26</x:v>
      </x:c>
      <x:c r="G115" s="1" t="s">
        <x:v>20</x:v>
      </x:c>
      <x:c r="H115" s="1" t="s">
        <x:v>27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84</x:v>
      </x:c>
      <x:c r="G116" s="1" t="s">
        <x:v>20</x:v>
      </x:c>
      <x:c r="H116" s="1" t="s">
        <x:v>33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78</x:v>
      </x:c>
      <x:c r="G117" s="1" t="s">
        <x:v>20</x:v>
      </x:c>
      <x:c r="H117" s="1" t="s">
        <x:v>79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125</x:v>
      </x:c>
      <x:c r="G118" s="1" t="s">
        <x:v>20</x:v>
      </x:c>
      <x:c r="H118" s="1" t="s">
        <x:v>33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88</x:v>
      </x:c>
      <x:c r="G119" s="1" t="s">
        <x:v>20</x:v>
      </x:c>
      <x:c r="H119" s="1" t="s">
        <x:v>119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126</x:v>
      </x:c>
      <x:c r="B120" s="2" t="s">
        <x:v>18</x:v>
      </x:c>
      <x:c r="C120" s="2">
        <x:f>HYPERLINK("https://team-v23u.testit.software/projects/142/tests/184", "Энергетический терминал  бургер меню")</x:f>
      </x:c>
      <x:c r="D120" s="1" t="s">
        <x:v>19</x:v>
      </x:c>
      <x:c r="E120" s="1" t="s">
        <x:v>20</x:v>
      </x:c>
      <x:c r="F120" s="1" t="s">
        <x:v>20</x:v>
      </x:c>
      <x:c r="G120" s="1" t="s">
        <x:v>20</x:v>
      </x:c>
      <x:c r="H120" s="1" t="s">
        <x:v>20</x:v>
      </x:c>
      <x:c r="I120" s="1" t="s">
        <x:v>20</x:v>
      </x:c>
      <x:c r="J120" s="1" t="s">
        <x:v>20</x:v>
      </x:c>
      <x:c r="K120" s="1" t="s">
        <x:v>20</x:v>
      </x:c>
      <x:c r="L120" s="1" t="s">
        <x:v>21</x:v>
      </x:c>
      <x:c r="M120" s="1" t="s">
        <x:v>22</x:v>
      </x:c>
      <x:c r="N120" s="1" t="s">
        <x:v>127</x:v>
      </x:c>
      <x:c r="O120" s="1" t="s">
        <x:v>24</x:v>
      </x:c>
      <x:c r="P120" s="1" t="s">
        <x:v>30</x:v>
      </x:c>
      <x:c r="Q120" s="1" t="s">
        <x:v>31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26</x:v>
      </x:c>
      <x:c r="G121" s="1" t="s">
        <x:v>20</x:v>
      </x:c>
      <x:c r="H121" s="1" t="s">
        <x:v>27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84</x:v>
      </x:c>
      <x:c r="G122" s="1" t="s">
        <x:v>20</x:v>
      </x:c>
      <x:c r="H122" s="1" t="s">
        <x:v>33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78</x:v>
      </x:c>
      <x:c r="G123" s="1" t="s">
        <x:v>20</x:v>
      </x:c>
      <x:c r="H123" s="1" t="s">
        <x:v>79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1" t="s">
        <x:v>128</x:v>
      </x:c>
      <x:c r="G124" s="1" t="s">
        <x:v>20</x:v>
      </x:c>
      <x:c r="H124" s="1" t="s">
        <x:v>33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88</x:v>
      </x:c>
      <x:c r="G125" s="1" t="s">
        <x:v>20</x:v>
      </x:c>
      <x:c r="H125" s="1" t="s">
        <x:v>119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129</x:v>
      </x:c>
      <x:c r="B126" s="2" t="s">
        <x:v>18</x:v>
      </x:c>
      <x:c r="C126" s="2">
        <x:f>HYPERLINK("https://team-v23u.testit.software/projects/142/tests/185", "Новости Академии АА бургер меню")</x:f>
      </x:c>
      <x:c r="D126" s="1" t="s">
        <x:v>19</x:v>
      </x:c>
      <x:c r="E126" s="1" t="s">
        <x:v>20</x:v>
      </x:c>
      <x:c r="F126" s="1" t="s">
        <x:v>20</x:v>
      </x:c>
      <x:c r="G126" s="1" t="s">
        <x:v>20</x:v>
      </x:c>
      <x:c r="H126" s="1" t="s">
        <x:v>20</x:v>
      </x:c>
      <x:c r="I126" s="1" t="s">
        <x:v>20</x:v>
      </x:c>
      <x:c r="J126" s="1" t="s">
        <x:v>20</x:v>
      </x:c>
      <x:c r="K126" s="1" t="s">
        <x:v>20</x:v>
      </x:c>
      <x:c r="L126" s="1" t="s">
        <x:v>21</x:v>
      </x:c>
      <x:c r="M126" s="1" t="s">
        <x:v>22</x:v>
      </x:c>
      <x:c r="N126" s="1" t="s">
        <x:v>130</x:v>
      </x:c>
      <x:c r="O126" s="1" t="s">
        <x:v>24</x:v>
      </x:c>
      <x:c r="P126" s="1" t="s">
        <x:v>30</x:v>
      </x:c>
      <x:c r="Q126" s="1" t="s">
        <x:v>31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26</x:v>
      </x:c>
      <x:c r="G127" s="1" t="s">
        <x:v>20</x:v>
      </x:c>
      <x:c r="H127" s="1" t="s">
        <x:v>27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84</x:v>
      </x:c>
      <x:c r="G128" s="1" t="s">
        <x:v>20</x:v>
      </x:c>
      <x:c r="H128" s="1" t="s">
        <x:v>33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78</x:v>
      </x:c>
      <x:c r="G129" s="1" t="s">
        <x:v>20</x:v>
      </x:c>
      <x:c r="H129" s="1" t="s">
        <x:v>79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131</x:v>
      </x:c>
      <x:c r="G130" s="1" t="s">
        <x:v>20</x:v>
      </x:c>
      <x:c r="H130" s="1" t="s">
        <x:v>33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88</x:v>
      </x:c>
      <x:c r="G131" s="1" t="s">
        <x:v>20</x:v>
      </x:c>
      <x:c r="H131" s="1" t="s">
        <x:v>119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132</x:v>
      </x:c>
      <x:c r="B132" s="2" t="s">
        <x:v>18</x:v>
      </x:c>
      <x:c r="C132" s="2">
        <x:f>HYPERLINK("https://team-v23u.testit.software/projects/142/tests/186", "Энергетический терминал бургер меню")</x:f>
      </x:c>
      <x:c r="D132" s="1" t="s">
        <x:v>19</x:v>
      </x:c>
      <x:c r="E132" s="1" t="s">
        <x:v>20</x:v>
      </x:c>
      <x:c r="F132" s="1" t="s">
        <x:v>20</x:v>
      </x:c>
      <x:c r="G132" s="1" t="s">
        <x:v>20</x:v>
      </x:c>
      <x:c r="H132" s="1" t="s">
        <x:v>20</x:v>
      </x:c>
      <x:c r="I132" s="1" t="s">
        <x:v>20</x:v>
      </x:c>
      <x:c r="J132" s="1" t="s">
        <x:v>20</x:v>
      </x:c>
      <x:c r="K132" s="1" t="s">
        <x:v>20</x:v>
      </x:c>
      <x:c r="L132" s="1" t="s">
        <x:v>21</x:v>
      </x:c>
      <x:c r="M132" s="1" t="s">
        <x:v>22</x:v>
      </x:c>
      <x:c r="N132" s="1" t="s">
        <x:v>133</x:v>
      </x:c>
      <x:c r="O132" s="1" t="s">
        <x:v>24</x:v>
      </x:c>
      <x:c r="P132" s="1" t="s">
        <x:v>30</x:v>
      </x:c>
      <x:c r="Q132" s="1" t="s">
        <x:v>31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26</x:v>
      </x:c>
      <x:c r="G133" s="1" t="s">
        <x:v>20</x:v>
      </x:c>
      <x:c r="H133" s="1" t="s">
        <x:v>27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84</x:v>
      </x:c>
      <x:c r="G134" s="1" t="s">
        <x:v>20</x:v>
      </x:c>
      <x:c r="H134" s="1" t="s">
        <x:v>33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78</x:v>
      </x:c>
      <x:c r="G135" s="1" t="s">
        <x:v>20</x:v>
      </x:c>
      <x:c r="H135" s="1" t="s">
        <x:v>79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128</x:v>
      </x:c>
      <x:c r="G136" s="1" t="s">
        <x:v>20</x:v>
      </x:c>
      <x:c r="H136" s="1" t="s">
        <x:v>33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88</x:v>
      </x:c>
      <x:c r="G137" s="1" t="s">
        <x:v>20</x:v>
      </x:c>
      <x:c r="H137" s="1" t="s">
        <x:v>119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134</x:v>
      </x:c>
      <x:c r="B138" s="2" t="s">
        <x:v>18</x:v>
      </x:c>
      <x:c r="C138" s="2">
        <x:f>HYPERLINK("https://team-v23u.testit.software/projects/142/tests/187", "Зеленая линия бургер меню")</x:f>
      </x:c>
      <x:c r="D138" s="1" t="s">
        <x:v>19</x:v>
      </x:c>
      <x:c r="E138" s="1" t="s">
        <x:v>20</x:v>
      </x:c>
      <x:c r="F138" s="1" t="s">
        <x:v>20</x:v>
      </x:c>
      <x:c r="G138" s="1" t="s">
        <x:v>20</x:v>
      </x:c>
      <x:c r="H138" s="1" t="s">
        <x:v>20</x:v>
      </x:c>
      <x:c r="I138" s="1" t="s">
        <x:v>20</x:v>
      </x:c>
      <x:c r="J138" s="1" t="s">
        <x:v>20</x:v>
      </x:c>
      <x:c r="K138" s="1" t="s">
        <x:v>20</x:v>
      </x:c>
      <x:c r="L138" s="1" t="s">
        <x:v>21</x:v>
      </x:c>
      <x:c r="M138" s="1" t="s">
        <x:v>22</x:v>
      </x:c>
      <x:c r="N138" s="1" t="s">
        <x:v>135</x:v>
      </x:c>
      <x:c r="O138" s="1" t="s">
        <x:v>24</x:v>
      </x:c>
      <x:c r="P138" s="1" t="s">
        <x:v>30</x:v>
      </x:c>
      <x:c r="Q138" s="1" t="s">
        <x:v>31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26</x:v>
      </x:c>
      <x:c r="G139" s="1" t="s">
        <x:v>20</x:v>
      </x:c>
      <x:c r="H139" s="1" t="s">
        <x:v>27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84</x:v>
      </x:c>
      <x:c r="G140" s="1" t="s">
        <x:v>20</x:v>
      </x:c>
      <x:c r="H140" s="1" t="s">
        <x:v>33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1" t="s">
        <x:v>78</x:v>
      </x:c>
      <x:c r="G141" s="1" t="s">
        <x:v>20</x:v>
      </x:c>
      <x:c r="H141" s="1" t="s">
        <x:v>79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136</x:v>
      </x:c>
      <x:c r="G142" s="1" t="s">
        <x:v>20</x:v>
      </x:c>
      <x:c r="H142" s="1" t="s">
        <x:v>33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20</x:v>
      </x:c>
      <x:c r="B143" s="2" t="s">
        <x:v>20</x:v>
      </x:c>
      <x:c r="C143" s="2" t="s">
        <x:v>20</x:v>
      </x:c>
      <x:c r="D143" s="1" t="s">
        <x:v>20</x:v>
      </x:c>
      <x:c r="E143" s="1" t="s">
        <x:v>20</x:v>
      </x:c>
      <x:c r="F143" s="1" t="s">
        <x:v>88</x:v>
      </x:c>
      <x:c r="G143" s="1" t="s">
        <x:v>20</x:v>
      </x:c>
      <x:c r="H143" s="1" t="s">
        <x:v>119</x:v>
      </x:c>
      <x:c r="I143" s="1" t="s">
        <x:v>20</x:v>
      </x:c>
      <x:c r="J143" s="1" t="s">
        <x:v>20</x:v>
      </x:c>
      <x:c r="K143" s="1" t="s">
        <x:v>20</x:v>
      </x:c>
      <x:c r="L143" s="1" t="s">
        <x:v>20</x:v>
      </x:c>
      <x:c r="M143" s="1" t="s">
        <x:v>20</x:v>
      </x:c>
      <x:c r="N143" s="1" t="s">
        <x:v>20</x:v>
      </x:c>
      <x:c r="O143" s="1" t="s">
        <x:v>20</x:v>
      </x:c>
      <x:c r="P143" s="1" t="s">
        <x:v>20</x:v>
      </x:c>
      <x:c r="Q143" s="1" t="s">
        <x:v>20</x:v>
      </x:c>
    </x:row>
    <x:row r="144" spans="1:17">
      <x:c r="A144" s="1" t="s">
        <x:v>137</x:v>
      </x:c>
      <x:c r="B144" s="2" t="s">
        <x:v>18</x:v>
      </x:c>
      <x:c r="C144" s="2">
        <x:f>HYPERLINK("https://team-v23u.testit.software/projects/142/tests/188", "Линия по ксенофобии бургер меню")</x:f>
      </x:c>
      <x:c r="D144" s="1" t="s">
        <x:v>19</x:v>
      </x:c>
      <x:c r="E144" s="1" t="s">
        <x:v>20</x:v>
      </x:c>
      <x:c r="F144" s="1" t="s">
        <x:v>20</x:v>
      </x:c>
      <x:c r="G144" s="1" t="s">
        <x:v>20</x:v>
      </x:c>
      <x:c r="H144" s="1" t="s">
        <x:v>20</x:v>
      </x:c>
      <x:c r="I144" s="1" t="s">
        <x:v>20</x:v>
      </x:c>
      <x:c r="J144" s="1" t="s">
        <x:v>20</x:v>
      </x:c>
      <x:c r="K144" s="1" t="s">
        <x:v>20</x:v>
      </x:c>
      <x:c r="L144" s="1" t="s">
        <x:v>21</x:v>
      </x:c>
      <x:c r="M144" s="1" t="s">
        <x:v>22</x:v>
      </x:c>
      <x:c r="N144" s="1" t="s">
        <x:v>138</x:v>
      </x:c>
      <x:c r="O144" s="1" t="s">
        <x:v>24</x:v>
      </x:c>
      <x:c r="P144" s="1" t="s">
        <x:v>30</x:v>
      </x:c>
      <x:c r="Q144" s="1" t="s">
        <x:v>31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26</x:v>
      </x:c>
      <x:c r="G145" s="1" t="s">
        <x:v>20</x:v>
      </x:c>
      <x:c r="H145" s="1" t="s">
        <x:v>27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84</x:v>
      </x:c>
      <x:c r="G146" s="1" t="s">
        <x:v>20</x:v>
      </x:c>
      <x:c r="H146" s="1" t="s">
        <x:v>33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78</x:v>
      </x:c>
      <x:c r="G147" s="1" t="s">
        <x:v>20</x:v>
      </x:c>
      <x:c r="H147" s="1" t="s">
        <x:v>79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20</x:v>
      </x:c>
      <x:c r="B148" s="2" t="s">
        <x:v>20</x:v>
      </x:c>
      <x:c r="C148" s="2" t="s">
        <x:v>20</x:v>
      </x:c>
      <x:c r="D148" s="1" t="s">
        <x:v>20</x:v>
      </x:c>
      <x:c r="E148" s="1" t="s">
        <x:v>20</x:v>
      </x:c>
      <x:c r="F148" s="1" t="s">
        <x:v>139</x:v>
      </x:c>
      <x:c r="G148" s="1" t="s">
        <x:v>20</x:v>
      </x:c>
      <x:c r="H148" s="1" t="s">
        <x:v>33</x:v>
      </x:c>
      <x:c r="I148" s="1" t="s">
        <x:v>20</x:v>
      </x:c>
      <x:c r="J148" s="1" t="s">
        <x:v>20</x:v>
      </x:c>
      <x:c r="K148" s="1" t="s">
        <x:v>20</x:v>
      </x:c>
      <x:c r="L148" s="1" t="s">
        <x:v>20</x:v>
      </x:c>
      <x:c r="M148" s="1" t="s">
        <x:v>20</x:v>
      </x:c>
      <x:c r="N148" s="1" t="s">
        <x:v>20</x:v>
      </x:c>
      <x:c r="O148" s="1" t="s">
        <x:v>20</x:v>
      </x:c>
      <x:c r="P148" s="1" t="s">
        <x:v>20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1" t="s">
        <x:v>88</x:v>
      </x:c>
      <x:c r="G149" s="1" t="s">
        <x:v>20</x:v>
      </x:c>
      <x:c r="H149" s="1" t="s">
        <x:v>119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140</x:v>
      </x:c>
      <x:c r="B150" s="2" t="s">
        <x:v>18</x:v>
      </x:c>
      <x:c r="C150" s="2">
        <x:f>HYPERLINK("https://team-v23u.testit.software/projects/142/tests/189", "Линия достоверности бургер меню")</x:f>
      </x:c>
      <x:c r="D150" s="1" t="s">
        <x:v>19</x:v>
      </x:c>
      <x:c r="E150" s="1" t="s">
        <x:v>20</x:v>
      </x:c>
      <x:c r="F150" s="1" t="s">
        <x:v>20</x:v>
      </x:c>
      <x:c r="G150" s="1" t="s">
        <x:v>20</x:v>
      </x:c>
      <x:c r="H150" s="1" t="s">
        <x:v>20</x:v>
      </x:c>
      <x:c r="I150" s="1" t="s">
        <x:v>20</x:v>
      </x:c>
      <x:c r="J150" s="1" t="s">
        <x:v>20</x:v>
      </x:c>
      <x:c r="K150" s="1" t="s">
        <x:v>20</x:v>
      </x:c>
      <x:c r="L150" s="1" t="s">
        <x:v>21</x:v>
      </x:c>
      <x:c r="M150" s="1" t="s">
        <x:v>22</x:v>
      </x:c>
      <x:c r="N150" s="1" t="s">
        <x:v>141</x:v>
      </x:c>
      <x:c r="O150" s="1" t="s">
        <x:v>24</x:v>
      </x:c>
      <x:c r="P150" s="1" t="s">
        <x:v>30</x:v>
      </x:c>
      <x:c r="Q150" s="1" t="s">
        <x:v>31</x:v>
      </x:c>
    </x:row>
    <x:row r="151" spans="1:17">
      <x:c r="A151" s="1" t="s">
        <x:v>20</x:v>
      </x:c>
      <x:c r="B151" s="2" t="s">
        <x:v>20</x:v>
      </x:c>
      <x:c r="C151" s="2" t="s">
        <x:v>20</x:v>
      </x:c>
      <x:c r="D151" s="1" t="s">
        <x:v>20</x:v>
      </x:c>
      <x:c r="E151" s="1" t="s">
        <x:v>20</x:v>
      </x:c>
      <x:c r="F151" s="1" t="s">
        <x:v>26</x:v>
      </x:c>
      <x:c r="G151" s="1" t="s">
        <x:v>20</x:v>
      </x:c>
      <x:c r="H151" s="1" t="s">
        <x:v>27</x:v>
      </x:c>
      <x:c r="I151" s="1" t="s">
        <x:v>20</x:v>
      </x:c>
      <x:c r="J151" s="1" t="s">
        <x:v>20</x:v>
      </x:c>
      <x:c r="K151" s="1" t="s">
        <x:v>20</x:v>
      </x:c>
      <x:c r="L151" s="1" t="s">
        <x:v>20</x:v>
      </x:c>
      <x:c r="M151" s="1" t="s">
        <x:v>20</x:v>
      </x:c>
      <x:c r="N151" s="1" t="s">
        <x:v>20</x:v>
      </x:c>
      <x:c r="O151" s="1" t="s">
        <x:v>20</x:v>
      </x:c>
      <x:c r="P151" s="1" t="s">
        <x:v>20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</x:v>
      </x:c>
      <x:c r="F152" s="1" t="s">
        <x:v>84</x:v>
      </x:c>
      <x:c r="G152" s="1" t="s">
        <x:v>20</x:v>
      </x:c>
      <x:c r="H152" s="1" t="s">
        <x:v>33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20</x:v>
      </x:c>
      <x:c r="F153" s="1" t="s">
        <x:v>78</x:v>
      </x:c>
      <x:c r="G153" s="1" t="s">
        <x:v>20</x:v>
      </x:c>
      <x:c r="H153" s="1" t="s">
        <x:v>79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142</x:v>
      </x:c>
      <x:c r="G154" s="1" t="s">
        <x:v>20</x:v>
      </x:c>
      <x:c r="H154" s="1" t="s">
        <x:v>33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88</x:v>
      </x:c>
      <x:c r="G155" s="1" t="s">
        <x:v>20</x:v>
      </x:c>
      <x:c r="H155" s="1" t="s">
        <x:v>119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143</x:v>
      </x:c>
      <x:c r="B156" s="2" t="s">
        <x:v>18</x:v>
      </x:c>
      <x:c r="C156" s="2">
        <x:f>HYPERLINK("https://team-v23u.testit.software/projects/142/tests/190", "Карьера АА бургер меню")</x:f>
      </x:c>
      <x:c r="D156" s="1" t="s">
        <x:v>19</x:v>
      </x:c>
      <x:c r="E156" s="1" t="s">
        <x:v>20</x:v>
      </x:c>
      <x:c r="F156" s="1" t="s">
        <x:v>20</x:v>
      </x:c>
      <x:c r="G156" s="1" t="s">
        <x:v>20</x:v>
      </x:c>
      <x:c r="H156" s="1" t="s">
        <x:v>20</x:v>
      </x:c>
      <x:c r="I156" s="1" t="s">
        <x:v>20</x:v>
      </x:c>
      <x:c r="J156" s="1" t="s">
        <x:v>20</x:v>
      </x:c>
      <x:c r="K156" s="1" t="s">
        <x:v>20</x:v>
      </x:c>
      <x:c r="L156" s="1" t="s">
        <x:v>21</x:v>
      </x:c>
      <x:c r="M156" s="1" t="s">
        <x:v>22</x:v>
      </x:c>
      <x:c r="N156" s="1" t="s">
        <x:v>144</x:v>
      </x:c>
      <x:c r="O156" s="1" t="s">
        <x:v>24</x:v>
      </x:c>
      <x:c r="P156" s="1" t="s">
        <x:v>30</x:v>
      </x:c>
      <x:c r="Q156" s="1" t="s">
        <x:v>31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26</x:v>
      </x:c>
      <x:c r="G157" s="1" t="s">
        <x:v>20</x:v>
      </x:c>
      <x:c r="H157" s="1" t="s">
        <x:v>27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20</x:v>
      </x:c>
      <x:c r="F158" s="1" t="s">
        <x:v>84</x:v>
      </x:c>
      <x:c r="G158" s="1" t="s">
        <x:v>20</x:v>
      </x:c>
      <x:c r="H158" s="1" t="s">
        <x:v>33</x:v>
      </x:c>
      <x:c r="I158" s="1" t="s">
        <x:v>20</x:v>
      </x:c>
      <x:c r="J158" s="1" t="s">
        <x:v>20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78</x:v>
      </x:c>
      <x:c r="G159" s="1" t="s">
        <x:v>20</x:v>
      </x:c>
      <x:c r="H159" s="1" t="s">
        <x:v>79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20</x:v>
      </x:c>
      <x:c r="F160" s="1" t="s">
        <x:v>145</x:v>
      </x:c>
      <x:c r="G160" s="1" t="s">
        <x:v>20</x:v>
      </x:c>
      <x:c r="H160" s="1" t="s">
        <x:v>33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20</x:v>
      </x:c>
      <x:c r="F161" s="1" t="s">
        <x:v>88</x:v>
      </x:c>
      <x:c r="G161" s="1" t="s">
        <x:v>20</x:v>
      </x:c>
      <x:c r="H161" s="1" t="s">
        <x:v>119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146</x:v>
      </x:c>
      <x:c r="B162" s="2" t="s">
        <x:v>18</x:v>
      </x:c>
      <x:c r="C162" s="2">
        <x:f>HYPERLINK("https://team-v23u.testit.software/projects/142/tests/191", "Корпоративные новости бургер меню")</x:f>
      </x:c>
      <x:c r="D162" s="1" t="s">
        <x:v>19</x:v>
      </x:c>
      <x:c r="E162" s="1" t="s">
        <x:v>20</x:v>
      </x:c>
      <x:c r="F162" s="1" t="s">
        <x:v>20</x:v>
      </x:c>
      <x:c r="G162" s="1" t="s">
        <x:v>20</x:v>
      </x:c>
      <x:c r="H162" s="1" t="s">
        <x:v>20</x:v>
      </x:c>
      <x:c r="I162" s="1" t="s">
        <x:v>20</x:v>
      </x:c>
      <x:c r="J162" s="1" t="s">
        <x:v>20</x:v>
      </x:c>
      <x:c r="K162" s="1" t="s">
        <x:v>20</x:v>
      </x:c>
      <x:c r="L162" s="1" t="s">
        <x:v>21</x:v>
      </x:c>
      <x:c r="M162" s="1" t="s">
        <x:v>22</x:v>
      </x:c>
      <x:c r="N162" s="1" t="s">
        <x:v>147</x:v>
      </x:c>
      <x:c r="O162" s="1" t="s">
        <x:v>24</x:v>
      </x:c>
      <x:c r="P162" s="1" t="s">
        <x:v>30</x:v>
      </x:c>
      <x:c r="Q162" s="1" t="s">
        <x:v>31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26</x:v>
      </x:c>
      <x:c r="G163" s="1" t="s">
        <x:v>20</x:v>
      </x:c>
      <x:c r="H163" s="1" t="s">
        <x:v>27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84</x:v>
      </x:c>
      <x:c r="G164" s="1" t="s">
        <x:v>20</x:v>
      </x:c>
      <x:c r="H164" s="1" t="s">
        <x:v>33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20</x:v>
      </x:c>
      <x:c r="B165" s="2" t="s">
        <x:v>20</x:v>
      </x:c>
      <x:c r="C165" s="2" t="s">
        <x:v>20</x:v>
      </x:c>
      <x:c r="D165" s="1" t="s">
        <x:v>20</x:v>
      </x:c>
      <x:c r="E165" s="1" t="s">
        <x:v>20</x:v>
      </x:c>
      <x:c r="F165" s="1" t="s">
        <x:v>78</x:v>
      </x:c>
      <x:c r="G165" s="1" t="s">
        <x:v>20</x:v>
      </x:c>
      <x:c r="H165" s="1" t="s">
        <x:v>79</x:v>
      </x:c>
      <x:c r="I165" s="1" t="s">
        <x:v>20</x:v>
      </x:c>
      <x:c r="J165" s="1" t="s">
        <x:v>20</x:v>
      </x:c>
      <x:c r="K165" s="1" t="s">
        <x:v>20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20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148</x:v>
      </x:c>
      <x:c r="G166" s="1" t="s">
        <x:v>20</x:v>
      </x:c>
      <x:c r="H166" s="1" t="s">
        <x:v>33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20</x:v>
      </x:c>
      <x:c r="F167" s="1" t="s">
        <x:v>88</x:v>
      </x:c>
      <x:c r="G167" s="1" t="s">
        <x:v>20</x:v>
      </x:c>
      <x:c r="H167" s="1" t="s">
        <x:v>119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149</x:v>
      </x:c>
      <x:c r="B168" s="2" t="s">
        <x:v>18</x:v>
      </x:c>
      <x:c r="C168" s="2">
        <x:f>HYPERLINK("https://team-v23u.testit.software/projects/142/tests/192", "IV")</x:f>
      </x:c>
      <x:c r="D168" s="1" t="s">
        <x:v>19</x:v>
      </x:c>
      <x:c r="E168" s="1" t="s">
        <x:v>20</x:v>
      </x:c>
      <x:c r="F168" s="1" t="s">
        <x:v>20</x:v>
      </x:c>
      <x:c r="G168" s="1" t="s">
        <x:v>20</x:v>
      </x:c>
      <x:c r="H168" s="1" t="s">
        <x:v>20</x:v>
      </x:c>
      <x:c r="I168" s="1" t="s">
        <x:v>20</x:v>
      </x:c>
      <x:c r="J168" s="1" t="s">
        <x:v>20</x:v>
      </x:c>
      <x:c r="K168" s="1" t="s">
        <x:v>20</x:v>
      </x:c>
      <x:c r="L168" s="1" t="s">
        <x:v>21</x:v>
      </x:c>
      <x:c r="M168" s="1" t="s">
        <x:v>22</x:v>
      </x:c>
      <x:c r="N168" s="1" t="s">
        <x:v>150</x:v>
      </x:c>
      <x:c r="O168" s="1" t="s">
        <x:v>24</x:v>
      </x:c>
      <x:c r="P168" s="1" t="s">
        <x:v>151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152</x:v>
      </x:c>
      <x:c r="F169" s="1" t="s">
        <x:v>20</x:v>
      </x:c>
      <x:c r="G169" s="1" t="s">
        <x:v>20</x:v>
      </x:c>
      <x:c r="H169" s="1" t="s">
        <x:v>20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20</x:v>
      </x:c>
      <x:c r="G170" s="1" t="s">
        <x:v>20</x:v>
      </x:c>
      <x:c r="H170" s="1" t="s">
        <x:v>20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1" t="s">
        <x:v>26</x:v>
      </x:c>
      <x:c r="G171" s="1" t="s">
        <x:v>20</x:v>
      </x:c>
      <x:c r="H171" s="1" t="s">
        <x:v>27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153</x:v>
      </x:c>
      <x:c r="G172" s="1" t="s">
        <x:v>20</x:v>
      </x:c>
      <x:c r="H172" s="1" t="s">
        <x:v>154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20</x:v>
      </x:c>
      <x:c r="B173" s="2" t="s">
        <x:v>20</x:v>
      </x:c>
      <x:c r="C173" s="2" t="s">
        <x:v>20</x:v>
      </x:c>
      <x:c r="D173" s="1" t="s">
        <x:v>20</x:v>
      </x:c>
      <x:c r="E173" s="1" t="s">
        <x:v>20</x:v>
      </x:c>
      <x:c r="F173" s="1" t="s">
        <x:v>34</x:v>
      </x:c>
      <x:c r="G173" s="1" t="s">
        <x:v>20</x:v>
      </x:c>
      <x:c r="H173" s="1" t="s">
        <x:v>155</x:v>
      </x:c>
      <x:c r="I173" s="1" t="s">
        <x:v>20</x:v>
      </x:c>
      <x:c r="J173" s="1" t="s">
        <x:v>20</x:v>
      </x:c>
      <x:c r="K173" s="1" t="s">
        <x:v>20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20</x:v>
      </x:c>
    </x:row>
    <x:row r="174" spans="1:17">
      <x:c r="A174" s="1" t="s">
        <x:v>156</x:v>
      </x:c>
      <x:c r="B174" s="2" t="s">
        <x:v>18</x:v>
      </x:c>
      <x:c r="C174" s="2">
        <x:f>HYPERLINK("https://team-v23u.testit.software/projects/142/tests/193", "F")</x:f>
      </x:c>
      <x:c r="D174" s="1" t="s">
        <x:v>19</x:v>
      </x:c>
      <x:c r="E174" s="1" t="s">
        <x:v>20</x:v>
      </x:c>
      <x:c r="F174" s="1" t="s">
        <x:v>20</x:v>
      </x:c>
      <x:c r="G174" s="1" t="s">
        <x:v>20</x:v>
      </x:c>
      <x:c r="H174" s="1" t="s">
        <x:v>20</x:v>
      </x:c>
      <x:c r="I174" s="1" t="s">
        <x:v>20</x:v>
      </x:c>
      <x:c r="J174" s="1" t="s">
        <x:v>20</x:v>
      </x:c>
      <x:c r="K174" s="1" t="s">
        <x:v>20</x:v>
      </x:c>
      <x:c r="L174" s="1" t="s">
        <x:v>21</x:v>
      </x:c>
      <x:c r="M174" s="1" t="s">
        <x:v>22</x:v>
      </x:c>
      <x:c r="N174" s="1" t="s">
        <x:v>157</x:v>
      </x:c>
      <x:c r="O174" s="1" t="s">
        <x:v>24</x:v>
      </x:c>
      <x:c r="P174" s="1" t="s">
        <x:v>30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152</x:v>
      </x:c>
      <x:c r="F175" s="1" t="s">
        <x:v>20</x:v>
      </x:c>
      <x:c r="G175" s="1" t="s">
        <x:v>20</x:v>
      </x:c>
      <x:c r="H175" s="1" t="s">
        <x:v>20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20</x:v>
      </x:c>
      <x:c r="G176" s="1" t="s">
        <x:v>20</x:v>
      </x:c>
      <x:c r="H176" s="1" t="s">
        <x:v>20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20</x:v>
      </x:c>
      <x:c r="B177" s="2" t="s">
        <x:v>20</x:v>
      </x:c>
      <x:c r="C177" s="2" t="s">
        <x:v>20</x:v>
      </x:c>
      <x:c r="D177" s="1" t="s">
        <x:v>20</x:v>
      </x:c>
      <x:c r="E177" s="1" t="s">
        <x:v>20</x:v>
      </x:c>
      <x:c r="F177" s="1" t="s">
        <x:v>26</x:v>
      </x:c>
      <x:c r="G177" s="1" t="s">
        <x:v>20</x:v>
      </x:c>
      <x:c r="H177" s="1" t="s">
        <x:v>27</x:v>
      </x:c>
      <x:c r="I177" s="1" t="s">
        <x:v>20</x:v>
      </x:c>
      <x:c r="J177" s="1" t="s">
        <x:v>20</x:v>
      </x:c>
      <x:c r="K177" s="1" t="s">
        <x:v>20</x:v>
      </x:c>
      <x:c r="L177" s="1" t="s">
        <x:v>20</x:v>
      </x:c>
      <x:c r="M177" s="1" t="s">
        <x:v>20</x:v>
      </x:c>
      <x:c r="N177" s="1" t="s">
        <x:v>20</x:v>
      </x:c>
      <x:c r="O177" s="1" t="s">
        <x:v>20</x:v>
      </x:c>
      <x:c r="P177" s="1" t="s">
        <x:v>20</x:v>
      </x:c>
      <x:c r="Q177" s="1" t="s">
        <x:v>20</x:v>
      </x:c>
    </x:row>
    <x:row r="178" spans="1:17">
      <x:c r="A178" s="1" t="s">
        <x:v>20</x:v>
      </x:c>
      <x:c r="B178" s="2" t="s">
        <x:v>20</x:v>
      </x:c>
      <x:c r="C178" s="2" t="s">
        <x:v>20</x:v>
      </x:c>
      <x:c r="D178" s="1" t="s">
        <x:v>20</x:v>
      </x:c>
      <x:c r="E178" s="1" t="s">
        <x:v>20</x:v>
      </x:c>
      <x:c r="F178" s="1" t="s">
        <x:v>158</x:v>
      </x:c>
      <x:c r="G178" s="1" t="s">
        <x:v>20</x:v>
      </x:c>
      <x:c r="H178" s="1" t="s">
        <x:v>154</x:v>
      </x:c>
      <x:c r="I178" s="1" t="s">
        <x:v>20</x:v>
      </x:c>
      <x:c r="J178" s="1" t="s">
        <x:v>20</x:v>
      </x:c>
      <x:c r="K178" s="1" t="s">
        <x:v>20</x:v>
      </x:c>
      <x:c r="L178" s="1" t="s">
        <x:v>20</x:v>
      </x:c>
      <x:c r="M178" s="1" t="s">
        <x:v>20</x:v>
      </x:c>
      <x:c r="N178" s="1" t="s">
        <x:v>20</x:v>
      </x:c>
      <x:c r="O178" s="1" t="s">
        <x:v>20</x:v>
      </x:c>
      <x:c r="P178" s="1" t="s">
        <x:v>20</x:v>
      </x:c>
      <x:c r="Q178" s="1" t="s">
        <x:v>20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20</x:v>
      </x:c>
      <x:c r="F179" s="1" t="s">
        <x:v>34</x:v>
      </x:c>
      <x:c r="G179" s="1" t="s">
        <x:v>20</x:v>
      </x:c>
      <x:c r="H179" s="1" t="s">
        <x:v>159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160</x:v>
      </x:c>
      <x:c r="B180" s="2" t="s">
        <x:v>18</x:v>
      </x:c>
      <x:c r="C180" s="2">
        <x:f>HYPERLINK("https://team-v23u.testit.software/projects/142/tests/194", "X")</x:f>
      </x:c>
      <x:c r="D180" s="1" t="s">
        <x:v>19</x:v>
      </x:c>
      <x:c r="E180" s="1" t="s">
        <x:v>20</x:v>
      </x:c>
      <x:c r="F180" s="1" t="s">
        <x:v>20</x:v>
      </x:c>
      <x:c r="G180" s="1" t="s">
        <x:v>20</x:v>
      </x:c>
      <x:c r="H180" s="1" t="s">
        <x:v>20</x:v>
      </x:c>
      <x:c r="I180" s="1" t="s">
        <x:v>20</x:v>
      </x:c>
      <x:c r="J180" s="1" t="s">
        <x:v>20</x:v>
      </x:c>
      <x:c r="K180" s="1" t="s">
        <x:v>20</x:v>
      </x:c>
      <x:c r="L180" s="1" t="s">
        <x:v>21</x:v>
      </x:c>
      <x:c r="M180" s="1" t="s">
        <x:v>22</x:v>
      </x:c>
      <x:c r="N180" s="1" t="s">
        <x:v>161</x:v>
      </x:c>
      <x:c r="O180" s="1" t="s">
        <x:v>24</x:v>
      </x:c>
      <x:c r="P180" s="1" t="s">
        <x:v>30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152</x:v>
      </x:c>
      <x:c r="F181" s="1" t="s">
        <x:v>20</x:v>
      </x:c>
      <x:c r="G181" s="1" t="s">
        <x:v>20</x:v>
      </x:c>
      <x:c r="H181" s="1" t="s">
        <x:v>20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20</x:v>
      </x:c>
      <x:c r="F182" s="1" t="s">
        <x:v>20</x:v>
      </x:c>
      <x:c r="G182" s="1" t="s">
        <x:v>20</x:v>
      </x:c>
      <x:c r="H182" s="1" t="s">
        <x:v>20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20</x:v>
      </x:c>
      <x:c r="B183" s="2" t="s">
        <x:v>20</x:v>
      </x:c>
      <x:c r="C183" s="2" t="s">
        <x:v>20</x:v>
      </x:c>
      <x:c r="D183" s="1" t="s">
        <x:v>20</x:v>
      </x:c>
      <x:c r="E183" s="1" t="s">
        <x:v>20</x:v>
      </x:c>
      <x:c r="F183" s="1" t="s">
        <x:v>26</x:v>
      </x:c>
      <x:c r="G183" s="1" t="s">
        <x:v>20</x:v>
      </x:c>
      <x:c r="H183" s="1" t="s">
        <x:v>27</x:v>
      </x:c>
      <x:c r="I183" s="1" t="s">
        <x:v>20</x:v>
      </x:c>
      <x:c r="J183" s="1" t="s">
        <x:v>20</x:v>
      </x:c>
      <x:c r="K183" s="1" t="s">
        <x:v>20</x:v>
      </x:c>
      <x:c r="L183" s="1" t="s">
        <x:v>20</x:v>
      </x:c>
      <x:c r="M183" s="1" t="s">
        <x:v>20</x:v>
      </x:c>
      <x:c r="N183" s="1" t="s">
        <x:v>20</x:v>
      </x:c>
      <x:c r="O183" s="1" t="s">
        <x:v>20</x:v>
      </x:c>
      <x:c r="P183" s="1" t="s">
        <x:v>20</x:v>
      </x:c>
      <x:c r="Q183" s="1" t="s">
        <x:v>20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20</x:v>
      </x:c>
      <x:c r="F184" s="1" t="s">
        <x:v>162</x:v>
      </x:c>
      <x:c r="G184" s="1" t="s">
        <x:v>20</x:v>
      </x:c>
      <x:c r="H184" s="1" t="s">
        <x:v>154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20</x:v>
      </x:c>
      <x:c r="B185" s="2" t="s">
        <x:v>20</x:v>
      </x:c>
      <x:c r="C185" s="2" t="s">
        <x:v>20</x:v>
      </x:c>
      <x:c r="D185" s="1" t="s">
        <x:v>20</x:v>
      </x:c>
      <x:c r="E185" s="1" t="s">
        <x:v>20</x:v>
      </x:c>
      <x:c r="F185" s="1" t="s">
        <x:v>34</x:v>
      </x:c>
      <x:c r="G185" s="1" t="s">
        <x:v>20</x:v>
      </x:c>
      <x:c r="H185" s="1" t="s">
        <x:v>163</x:v>
      </x:c>
      <x:c r="I185" s="1" t="s">
        <x:v>20</x:v>
      </x:c>
      <x:c r="J185" s="1" t="s">
        <x:v>20</x:v>
      </x:c>
      <x:c r="K185" s="1" t="s">
        <x:v>20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20</x:v>
      </x:c>
      <x:c r="Q185" s="1" t="s">
        <x:v>20</x:v>
      </x:c>
    </x:row>
    <x:row r="186" spans="1:17">
      <x:c r="A186" s="1" t="s">
        <x:v>164</x:v>
      </x:c>
      <x:c r="B186" s="2" t="s">
        <x:v>18</x:v>
      </x:c>
      <x:c r="C186" s="2">
        <x:f>HYPERLINK("https://team-v23u.testit.software/projects/142/tests/195", "youtube")</x:f>
      </x:c>
      <x:c r="D186" s="1" t="s">
        <x:v>19</x:v>
      </x:c>
      <x:c r="E186" s="1" t="s">
        <x:v>20</x:v>
      </x:c>
      <x:c r="F186" s="1" t="s">
        <x:v>20</x:v>
      </x:c>
      <x:c r="G186" s="1" t="s">
        <x:v>20</x:v>
      </x:c>
      <x:c r="H186" s="1" t="s">
        <x:v>20</x:v>
      </x:c>
      <x:c r="I186" s="1" t="s">
        <x:v>20</x:v>
      </x:c>
      <x:c r="J186" s="1" t="s">
        <x:v>20</x:v>
      </x:c>
      <x:c r="K186" s="1" t="s">
        <x:v>20</x:v>
      </x:c>
      <x:c r="L186" s="1" t="s">
        <x:v>21</x:v>
      </x:c>
      <x:c r="M186" s="1" t="s">
        <x:v>22</x:v>
      </x:c>
      <x:c r="N186" s="1" t="s">
        <x:v>165</x:v>
      </x:c>
      <x:c r="O186" s="1" t="s">
        <x:v>24</x:v>
      </x:c>
      <x:c r="P186" s="1" t="s">
        <x:v>30</x:v>
      </x:c>
      <x:c r="Q186" s="1" t="s">
        <x:v>20</x:v>
      </x:c>
    </x:row>
    <x:row r="187" spans="1:17">
      <x:c r="A187" s="1" t="s">
        <x:v>20</x:v>
      </x:c>
      <x:c r="B187" s="2" t="s">
        <x:v>20</x:v>
      </x:c>
      <x:c r="C187" s="2" t="s">
        <x:v>20</x:v>
      </x:c>
      <x:c r="D187" s="1" t="s">
        <x:v>20</x:v>
      </x:c>
      <x:c r="E187" s="1" t="s">
        <x:v>152</x:v>
      </x:c>
      <x:c r="F187" s="1" t="s">
        <x:v>20</x:v>
      </x:c>
      <x:c r="G187" s="1" t="s">
        <x:v>20</x:v>
      </x:c>
      <x:c r="H187" s="1" t="s">
        <x:v>20</x:v>
      </x:c>
      <x:c r="I187" s="1" t="s">
        <x:v>20</x:v>
      </x:c>
      <x:c r="J187" s="1" t="s">
        <x:v>20</x:v>
      </x:c>
      <x:c r="K187" s="1" t="s">
        <x:v>20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20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20</x:v>
      </x:c>
      <x:c r="F188" s="1" t="s">
        <x:v>20</x:v>
      </x:c>
      <x:c r="G188" s="1" t="s">
        <x:v>20</x:v>
      </x:c>
      <x:c r="H188" s="1" t="s">
        <x:v>20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1" t="s">
        <x:v>26</x:v>
      </x:c>
      <x:c r="G189" s="1" t="s">
        <x:v>20</x:v>
      </x:c>
      <x:c r="H189" s="1" t="s">
        <x:v>27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20</x:v>
      </x:c>
      <x:c r="B190" s="2" t="s">
        <x:v>20</x:v>
      </x:c>
      <x:c r="C190" s="2" t="s">
        <x:v>20</x:v>
      </x:c>
      <x:c r="D190" s="1" t="s">
        <x:v>20</x:v>
      </x:c>
      <x:c r="E190" s="1" t="s">
        <x:v>20</x:v>
      </x:c>
      <x:c r="F190" s="1" t="s">
        <x:v>166</x:v>
      </x:c>
      <x:c r="G190" s="1" t="s">
        <x:v>20</x:v>
      </x:c>
      <x:c r="H190" s="1" t="s">
        <x:v>154</x:v>
      </x:c>
      <x:c r="I190" s="1" t="s">
        <x:v>20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20</x:v>
      </x:c>
      <x:c r="Q190" s="1" t="s">
        <x:v>20</x:v>
      </x:c>
    </x:row>
    <x:row r="191" spans="1:17">
      <x:c r="A191" s="1" t="s">
        <x:v>20</x:v>
      </x:c>
      <x:c r="B191" s="2" t="s">
        <x:v>20</x:v>
      </x:c>
      <x:c r="C191" s="2" t="s">
        <x:v>20</x:v>
      </x:c>
      <x:c r="D191" s="1" t="s">
        <x:v>20</x:v>
      </x:c>
      <x:c r="E191" s="1" t="s">
        <x:v>20</x:v>
      </x:c>
      <x:c r="F191" s="1" t="s">
        <x:v>34</x:v>
      </x:c>
      <x:c r="G191" s="1" t="s">
        <x:v>20</x:v>
      </x:c>
      <x:c r="H191" s="1" t="s">
        <x:v>167</x:v>
      </x:c>
      <x:c r="I191" s="1" t="s">
        <x:v>20</x:v>
      </x:c>
      <x:c r="J191" s="1" t="s">
        <x:v>20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20</x:v>
      </x:c>
      <x:c r="Q191" s="1" t="s">
        <x:v>20</x:v>
      </x:c>
    </x:row>
    <x:row r="192" spans="1:17">
      <x:c r="A192" s="1" t="s">
        <x:v>168</x:v>
      </x:c>
      <x:c r="B192" s="2" t="s">
        <x:v>18</x:v>
      </x:c>
      <x:c r="C192" s="2">
        <x:f>HYPERLINK("https://team-v23u.testit.software/projects/142/tests/196", "инста")</x:f>
      </x:c>
      <x:c r="D192" s="1" t="s">
        <x:v>19</x:v>
      </x:c>
      <x:c r="E192" s="1" t="s">
        <x:v>20</x:v>
      </x:c>
      <x:c r="F192" s="1" t="s">
        <x:v>20</x:v>
      </x:c>
      <x:c r="G192" s="1" t="s">
        <x:v>20</x:v>
      </x:c>
      <x:c r="H192" s="1" t="s">
        <x:v>20</x:v>
      </x:c>
      <x:c r="I192" s="1" t="s">
        <x:v>20</x:v>
      </x:c>
      <x:c r="J192" s="1" t="s">
        <x:v>20</x:v>
      </x:c>
      <x:c r="K192" s="1" t="s">
        <x:v>20</x:v>
      </x:c>
      <x:c r="L192" s="1" t="s">
        <x:v>21</x:v>
      </x:c>
      <x:c r="M192" s="1" t="s">
        <x:v>22</x:v>
      </x:c>
      <x:c r="N192" s="1" t="s">
        <x:v>169</x:v>
      </x:c>
      <x:c r="O192" s="1" t="s">
        <x:v>24</x:v>
      </x:c>
      <x:c r="P192" s="1" t="s">
        <x:v>30</x:v>
      </x:c>
      <x:c r="Q192" s="1" t="s">
        <x:v>20</x:v>
      </x:c>
    </x:row>
    <x:row r="193" spans="1:17">
      <x:c r="A193" s="1" t="s">
        <x:v>20</x:v>
      </x:c>
      <x:c r="B193" s="2" t="s">
        <x:v>20</x:v>
      </x:c>
      <x:c r="C193" s="2" t="s">
        <x:v>20</x:v>
      </x:c>
      <x:c r="D193" s="1" t="s">
        <x:v>20</x:v>
      </x:c>
      <x:c r="E193" s="1" t="s">
        <x:v>152</x:v>
      </x:c>
      <x:c r="F193" s="1" t="s">
        <x:v>20</x:v>
      </x:c>
      <x:c r="G193" s="1" t="s">
        <x:v>20</x:v>
      </x:c>
      <x:c r="H193" s="1" t="s">
        <x:v>20</x:v>
      </x:c>
      <x:c r="I193" s="1" t="s">
        <x:v>20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20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20</x:v>
      </x:c>
      <x:c r="F194" s="1" t="s">
        <x:v>20</x:v>
      </x:c>
      <x:c r="G194" s="1" t="s">
        <x:v>20</x:v>
      </x:c>
      <x:c r="H194" s="1" t="s">
        <x:v>20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1" t="s">
        <x:v>26</x:v>
      </x:c>
      <x:c r="G195" s="1" t="s">
        <x:v>20</x:v>
      </x:c>
      <x:c r="H195" s="1" t="s">
        <x:v>27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20</x:v>
      </x:c>
      <x:c r="B196" s="2" t="s">
        <x:v>20</x:v>
      </x:c>
      <x:c r="C196" s="2" t="s">
        <x:v>20</x:v>
      </x:c>
      <x:c r="D196" s="1" t="s">
        <x:v>20</x:v>
      </x:c>
      <x:c r="E196" s="1" t="s">
        <x:v>20</x:v>
      </x:c>
      <x:c r="F196" s="1" t="s">
        <x:v>170</x:v>
      </x:c>
      <x:c r="G196" s="1" t="s">
        <x:v>20</x:v>
      </x:c>
      <x:c r="H196" s="1" t="s">
        <x:v>154</x:v>
      </x:c>
      <x:c r="I196" s="1" t="s">
        <x:v>20</x:v>
      </x:c>
      <x:c r="J196" s="1" t="s">
        <x:v>20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20</x:v>
      </x:c>
      <x:c r="Q196" s="1" t="s">
        <x:v>20</x:v>
      </x:c>
    </x:row>
    <x:row r="197" spans="1:17">
      <x:c r="A197" s="1" t="s">
        <x:v>20</x:v>
      </x:c>
      <x:c r="B197" s="2" t="s">
        <x:v>20</x:v>
      </x:c>
      <x:c r="C197" s="2" t="s">
        <x:v>20</x:v>
      </x:c>
      <x:c r="D197" s="1" t="s">
        <x:v>20</x:v>
      </x:c>
      <x:c r="E197" s="1" t="s">
        <x:v>20</x:v>
      </x:c>
      <x:c r="F197" s="1" t="s">
        <x:v>34</x:v>
      </x:c>
      <x:c r="G197" s="1" t="s">
        <x:v>20</x:v>
      </x:c>
      <x:c r="H197" s="1" t="s">
        <x:v>171</x:v>
      </x:c>
      <x:c r="I197" s="1" t="s">
        <x:v>20</x:v>
      </x:c>
      <x:c r="J197" s="1" t="s">
        <x:v>20</x:v>
      </x:c>
      <x:c r="K197" s="1" t="s">
        <x:v>20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20</x:v>
      </x:c>
      <x:c r="Q197" s="1" t="s">
        <x:v>20</x:v>
      </x:c>
    </x:row>
    <x:row r="198" spans="1:17">
      <x:c r="A198" s="1" t="s">
        <x:v>172</x:v>
      </x:c>
      <x:c r="B198" s="2" t="s">
        <x:v>18</x:v>
      </x:c>
      <x:c r="C198" s="2">
        <x:f>HYPERLINK("https://team-v23u.testit.software/projects/142/tests/197", "язык")</x:f>
      </x:c>
      <x:c r="D198" s="1" t="s">
        <x:v>19</x:v>
      </x:c>
      <x:c r="E198" s="1" t="s">
        <x:v>20</x:v>
      </x:c>
      <x:c r="F198" s="1" t="s">
        <x:v>20</x:v>
      </x:c>
      <x:c r="G198" s="1" t="s">
        <x:v>20</x:v>
      </x:c>
      <x:c r="H198" s="1" t="s">
        <x:v>20</x:v>
      </x:c>
      <x:c r="I198" s="1" t="s">
        <x:v>20</x:v>
      </x:c>
      <x:c r="J198" s="1" t="s">
        <x:v>20</x:v>
      </x:c>
      <x:c r="K198" s="1" t="s">
        <x:v>20</x:v>
      </x:c>
      <x:c r="L198" s="1" t="s">
        <x:v>21</x:v>
      </x:c>
      <x:c r="M198" s="1" t="s">
        <x:v>22</x:v>
      </x:c>
      <x:c r="N198" s="1" t="s">
        <x:v>173</x:v>
      </x:c>
      <x:c r="O198" s="1" t="s">
        <x:v>24</x:v>
      </x:c>
      <x:c r="P198" s="1" t="s">
        <x:v>30</x:v>
      </x:c>
      <x:c r="Q198" s="1" t="s">
        <x:v>31</x:v>
      </x:c>
    </x:row>
    <x:row r="199" spans="1:17">
      <x:c r="A199" s="1" t="s">
        <x:v>20</x:v>
      </x:c>
      <x:c r="B199" s="2" t="s">
        <x:v>20</x:v>
      </x:c>
      <x:c r="C199" s="2" t="s">
        <x:v>20</x:v>
      </x:c>
      <x:c r="D199" s="1" t="s">
        <x:v>20</x:v>
      </x:c>
      <x:c r="E199" s="1" t="s">
        <x:v>20</x:v>
      </x:c>
      <x:c r="F199" s="1" t="s">
        <x:v>26</x:v>
      </x:c>
      <x:c r="G199" s="1" t="s">
        <x:v>20</x:v>
      </x:c>
      <x:c r="H199" s="1" t="s">
        <x:v>27</x:v>
      </x:c>
      <x:c r="I199" s="1" t="s">
        <x:v>20</x:v>
      </x:c>
      <x:c r="J199" s="1" t="s">
        <x:v>20</x:v>
      </x:c>
      <x:c r="K199" s="1" t="s">
        <x:v>20</x:v>
      </x:c>
      <x:c r="L199" s="1" t="s">
        <x:v>20</x:v>
      </x:c>
      <x:c r="M199" s="1" t="s">
        <x:v>20</x:v>
      </x:c>
      <x:c r="N199" s="1" t="s">
        <x:v>20</x:v>
      </x:c>
      <x:c r="O199" s="1" t="s">
        <x:v>20</x:v>
      </x:c>
      <x:c r="P199" s="1" t="s">
        <x:v>20</x:v>
      </x:c>
      <x:c r="Q199" s="1" t="s">
        <x:v>20</x:v>
      </x:c>
    </x:row>
    <x:row r="200" spans="1:17">
      <x:c r="A200" s="1" t="s">
        <x:v>20</x:v>
      </x:c>
      <x:c r="B200" s="2" t="s">
        <x:v>20</x:v>
      </x:c>
      <x:c r="C200" s="2" t="s">
        <x:v>20</x:v>
      </x:c>
      <x:c r="D200" s="1" t="s">
        <x:v>20</x:v>
      </x:c>
      <x:c r="E200" s="1" t="s">
        <x:v>20</x:v>
      </x:c>
      <x:c r="F200" s="1" t="s">
        <x:v>174</x:v>
      </x:c>
      <x:c r="G200" s="1" t="s">
        <x:v>20</x:v>
      </x:c>
      <x:c r="H200" s="1" t="s">
        <x:v>175</x:v>
      </x:c>
      <x:c r="I200" s="1" t="s">
        <x:v>20</x:v>
      </x:c>
      <x:c r="J200" s="1" t="s">
        <x:v>20</x:v>
      </x:c>
      <x:c r="K200" s="1" t="s">
        <x:v>20</x:v>
      </x:c>
      <x:c r="L200" s="1" t="s">
        <x:v>20</x:v>
      </x:c>
      <x:c r="M200" s="1" t="s">
        <x:v>20</x:v>
      </x:c>
      <x:c r="N200" s="1" t="s">
        <x:v>20</x:v>
      </x:c>
      <x:c r="O200" s="1" t="s">
        <x:v>20</x:v>
      </x:c>
      <x:c r="P200" s="1" t="s">
        <x:v>20</x:v>
      </x:c>
      <x:c r="Q200" s="1" t="s">
        <x:v>20</x:v>
      </x:c>
    </x:row>
    <x:row r="201" spans="1:17">
      <x:c r="A201" s="1" t="s">
        <x:v>20</x:v>
      </x:c>
      <x:c r="B201" s="2" t="s">
        <x:v>20</x:v>
      </x:c>
      <x:c r="C201" s="2" t="s">
        <x:v>20</x:v>
      </x:c>
      <x:c r="D201" s="1" t="s">
        <x:v>20</x:v>
      </x:c>
      <x:c r="E201" s="1" t="s">
        <x:v>20</x:v>
      </x:c>
      <x:c r="F201" s="1" t="s">
        <x:v>176</x:v>
      </x:c>
      <x:c r="G201" s="1" t="s">
        <x:v>20</x:v>
      </x:c>
      <x:c r="H201" s="1" t="s">
        <x:v>177</x:v>
      </x:c>
      <x:c r="I201" s="1" t="s">
        <x:v>20</x:v>
      </x:c>
      <x:c r="J201" s="1" t="s">
        <x:v>20</x:v>
      </x:c>
      <x:c r="K201" s="1" t="s">
        <x:v>20</x:v>
      </x:c>
      <x:c r="L201" s="1" t="s">
        <x:v>20</x:v>
      </x:c>
      <x:c r="M201" s="1" t="s">
        <x:v>20</x:v>
      </x:c>
      <x:c r="N201" s="1" t="s">
        <x:v>20</x:v>
      </x:c>
      <x:c r="O201" s="1" t="s">
        <x:v>20</x:v>
      </x:c>
      <x:c r="P201" s="1" t="s">
        <x:v>20</x:v>
      </x:c>
      <x:c r="Q201" s="1" t="s">
        <x:v>20</x:v>
      </x:c>
    </x:row>
    <x:row r="202" spans="1:17">
      <x:c r="A202" s="1" t="s">
        <x:v>20</x:v>
      </x:c>
      <x:c r="B202" s="2" t="s">
        <x:v>20</x:v>
      </x:c>
      <x:c r="C202" s="2" t="s">
        <x:v>20</x:v>
      </x:c>
      <x:c r="D202" s="1" t="s">
        <x:v>20</x:v>
      </x:c>
      <x:c r="E202" s="1" t="s">
        <x:v>20</x:v>
      </x:c>
      <x:c r="F202" s="1" t="s">
        <x:v>178</x:v>
      </x:c>
      <x:c r="G202" s="1" t="s">
        <x:v>20</x:v>
      </x:c>
      <x:c r="H202" s="1" t="s">
        <x:v>179</x:v>
      </x:c>
      <x:c r="I202" s="1" t="s">
        <x:v>20</x:v>
      </x:c>
      <x:c r="J202" s="1" t="s">
        <x:v>20</x:v>
      </x:c>
      <x:c r="K202" s="1" t="s">
        <x:v>20</x:v>
      </x:c>
      <x:c r="L202" s="1" t="s">
        <x:v>20</x:v>
      </x:c>
      <x:c r="M202" s="1" t="s">
        <x:v>20</x:v>
      </x:c>
      <x:c r="N202" s="1" t="s">
        <x:v>20</x:v>
      </x:c>
      <x:c r="O202" s="1" t="s">
        <x:v>20</x:v>
      </x:c>
      <x:c r="P202" s="1" t="s">
        <x:v>20</x:v>
      </x:c>
      <x:c r="Q202" s="1" t="s">
        <x:v>20</x:v>
      </x:c>
    </x:row>
    <x:row r="203" spans="1:17">
      <x:c r="A203" s="1" t="s">
        <x:v>20</x:v>
      </x:c>
      <x:c r="B203" s="2" t="s">
        <x:v>20</x:v>
      </x:c>
      <x:c r="C203" s="2" t="s">
        <x:v>20</x:v>
      </x:c>
      <x:c r="D203" s="1" t="s">
        <x:v>20</x:v>
      </x:c>
      <x:c r="E203" s="1" t="s">
        <x:v>20</x:v>
      </x:c>
      <x:c r="F203" s="1" t="s">
        <x:v>180</x:v>
      </x:c>
      <x:c r="G203" s="1" t="s">
        <x:v>20</x:v>
      </x:c>
      <x:c r="H203" s="1" t="s">
        <x:v>181</x:v>
      </x:c>
      <x:c r="I203" s="1" t="s">
        <x:v>20</x:v>
      </x:c>
      <x:c r="J203" s="1" t="s">
        <x:v>20</x:v>
      </x:c>
      <x:c r="K203" s="1" t="s">
        <x:v>20</x:v>
      </x:c>
      <x:c r="L203" s="1" t="s">
        <x:v>20</x:v>
      </x:c>
      <x:c r="M203" s="1" t="s">
        <x:v>20</x:v>
      </x:c>
      <x:c r="N203" s="1" t="s">
        <x:v>20</x:v>
      </x:c>
      <x:c r="O203" s="1" t="s">
        <x:v>20</x:v>
      </x:c>
      <x:c r="P203" s="1" t="s">
        <x:v>20</x:v>
      </x:c>
      <x:c r="Q203" s="1" t="s">
        <x:v>20</x:v>
      </x:c>
    </x:row>
    <x:row r="204" spans="1:17">
      <x:c r="A204" s="1" t="s">
        <x:v>20</x:v>
      </x:c>
      <x:c r="B204" s="2" t="s">
        <x:v>20</x:v>
      </x:c>
      <x:c r="C204" s="2" t="s">
        <x:v>20</x:v>
      </x:c>
      <x:c r="D204" s="1" t="s">
        <x:v>20</x:v>
      </x:c>
      <x:c r="E204" s="1" t="s">
        <x:v>20</x:v>
      </x:c>
      <x:c r="F204" s="1" t="s">
        <x:v>174</x:v>
      </x:c>
      <x:c r="G204" s="1" t="s">
        <x:v>20</x:v>
      </x:c>
      <x:c r="H204" s="1" t="s">
        <x:v>175</x:v>
      </x:c>
      <x:c r="I204" s="1" t="s">
        <x:v>20</x:v>
      </x:c>
      <x:c r="J204" s="1" t="s">
        <x:v>20</x:v>
      </x:c>
      <x:c r="K204" s="1" t="s">
        <x:v>20</x:v>
      </x:c>
      <x:c r="L204" s="1" t="s">
        <x:v>20</x:v>
      </x:c>
      <x:c r="M204" s="1" t="s">
        <x:v>20</x:v>
      </x:c>
      <x:c r="N204" s="1" t="s">
        <x:v>20</x:v>
      </x:c>
      <x:c r="O204" s="1" t="s">
        <x:v>20</x:v>
      </x:c>
      <x:c r="P204" s="1" t="s">
        <x:v>20</x:v>
      </x:c>
      <x:c r="Q204" s="1" t="s">
        <x:v>20</x:v>
      </x:c>
    </x:row>
    <x:row r="205" spans="1:17">
      <x:c r="A205" s="1" t="s">
        <x:v>20</x:v>
      </x:c>
      <x:c r="B205" s="2" t="s">
        <x:v>20</x:v>
      </x:c>
      <x:c r="C205" s="2" t="s">
        <x:v>20</x:v>
      </x:c>
      <x:c r="D205" s="1" t="s">
        <x:v>20</x:v>
      </x:c>
      <x:c r="E205" s="1" t="s">
        <x:v>20</x:v>
      </x:c>
      <x:c r="F205" s="1" t="s">
        <x:v>176</x:v>
      </x:c>
      <x:c r="G205" s="1" t="s">
        <x:v>20</x:v>
      </x:c>
      <x:c r="H205" s="1" t="s">
        <x:v>177</x:v>
      </x:c>
      <x:c r="I205" s="1" t="s">
        <x:v>20</x:v>
      </x:c>
      <x:c r="J205" s="1" t="s">
        <x:v>20</x:v>
      </x:c>
      <x:c r="K205" s="1" t="s">
        <x:v>20</x:v>
      </x:c>
      <x:c r="L205" s="1" t="s">
        <x:v>20</x:v>
      </x:c>
      <x:c r="M205" s="1" t="s">
        <x:v>20</x:v>
      </x:c>
      <x:c r="N205" s="1" t="s">
        <x:v>20</x:v>
      </x:c>
      <x:c r="O205" s="1" t="s">
        <x:v>20</x:v>
      </x:c>
      <x:c r="P205" s="1" t="s">
        <x:v>20</x:v>
      </x:c>
      <x:c r="Q205" s="1" t="s">
        <x:v>20</x:v>
      </x:c>
    </x:row>
    <x:row r="206" spans="1:17">
      <x:c r="A206" s="1" t="s">
        <x:v>20</x:v>
      </x:c>
      <x:c r="B206" s="2" t="s">
        <x:v>20</x:v>
      </x:c>
      <x:c r="C206" s="2" t="s">
        <x:v>20</x:v>
      </x:c>
      <x:c r="D206" s="1" t="s">
        <x:v>20</x:v>
      </x:c>
      <x:c r="E206" s="1" t="s">
        <x:v>20</x:v>
      </x:c>
      <x:c r="F206" s="1" t="s">
        <x:v>182</x:v>
      </x:c>
      <x:c r="G206" s="1" t="s">
        <x:v>20</x:v>
      </x:c>
      <x:c r="H206" s="1" t="s">
        <x:v>179</x:v>
      </x:c>
      <x:c r="I206" s="1" t="s">
        <x:v>20</x:v>
      </x:c>
      <x:c r="J206" s="1" t="s">
        <x:v>20</x:v>
      </x:c>
      <x:c r="K206" s="1" t="s">
        <x:v>20</x:v>
      </x:c>
      <x:c r="L206" s="1" t="s">
        <x:v>20</x:v>
      </x:c>
      <x:c r="M206" s="1" t="s">
        <x:v>20</x:v>
      </x:c>
      <x:c r="N206" s="1" t="s">
        <x:v>20</x:v>
      </x:c>
      <x:c r="O206" s="1" t="s">
        <x:v>20</x:v>
      </x:c>
      <x:c r="P206" s="1" t="s">
        <x:v>20</x:v>
      </x:c>
      <x:c r="Q206" s="1" t="s">
        <x:v>20</x:v>
      </x:c>
    </x:row>
    <x:row r="207" spans="1:17">
      <x:c r="A207" s="1" t="s">
        <x:v>20</x:v>
      </x:c>
      <x:c r="B207" s="2" t="s">
        <x:v>20</x:v>
      </x:c>
      <x:c r="C207" s="2" t="s">
        <x:v>20</x:v>
      </x:c>
      <x:c r="D207" s="1" t="s">
        <x:v>20</x:v>
      </x:c>
      <x:c r="E207" s="1" t="s">
        <x:v>20</x:v>
      </x:c>
      <x:c r="F207" s="1" t="s">
        <x:v>183</x:v>
      </x:c>
      <x:c r="G207" s="1" t="s">
        <x:v>20</x:v>
      </x:c>
      <x:c r="H207" s="1" t="s">
        <x:v>184</x:v>
      </x:c>
      <x:c r="I207" s="1" t="s">
        <x:v>20</x:v>
      </x:c>
      <x:c r="J207" s="1" t="s">
        <x:v>20</x:v>
      </x:c>
      <x:c r="K207" s="1" t="s">
        <x:v>20</x:v>
      </x:c>
      <x:c r="L207" s="1" t="s">
        <x:v>20</x:v>
      </x:c>
      <x:c r="M207" s="1" t="s">
        <x:v>20</x:v>
      </x:c>
      <x:c r="N207" s="1" t="s">
        <x:v>20</x:v>
      </x:c>
      <x:c r="O207" s="1" t="s">
        <x:v>20</x:v>
      </x:c>
      <x:c r="P207" s="1" t="s">
        <x:v>20</x:v>
      </x:c>
      <x:c r="Q207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