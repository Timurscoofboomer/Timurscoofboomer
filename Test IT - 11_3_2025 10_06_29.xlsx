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3247aad63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cadd4ee8124b958139630d51c31802.psmdcp" Id="Rac5ffb4470b54b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4" i="1"/>
  <x:c r="C7" i="1"/>
  <x:c r="C10" i="1"/>
  <x:c r="C13" i="1"/>
  <x:c r="C16" i="1"/>
  <x:c r="C19" i="1"/>
  <x:c r="C24" i="1"/>
  <x:c r="C28" i="1"/>
  <x:c r="C31" i="1"/>
  <x:c r="C36" i="1"/>
  <x:c r="C40" i="1"/>
  <x:c r="C43" i="1"/>
  <x:c r="C47" i="1"/>
  <x:c r="C50" i="1"/>
  <x:c r="C53" i="1"/>
  <x:c r="C56" i="1"/>
  <x:c r="C60" i="1"/>
  <x:c r="C65" i="1"/>
  <x:c r="C70" i="1"/>
  <x:c r="C75" i="1"/>
  <x:c r="C82" i="1"/>
  <x:c r="C91" i="1"/>
  <x:c r="C96" i="1"/>
  <x:c r="C100" i="1"/>
  <x:c r="C104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<x:sst xmlns:x="http://schemas.openxmlformats.org/spreadsheetml/2006/main">
  <x:si>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</x:si>
  <x:si>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</x:si>
  <x:si>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</x:si>
  <x:si>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</x:si>
  <x:si>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</x:si>
  <x:si>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</x:si>
  <x:si>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</x:si>
  <x:si>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</x:si>
  <x:si>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</x:si>
  <x:si>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</x:si>
  <x:si>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</x:si>
  <x:si>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</x:si>
  <x:si>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</x:si>
  <x:si>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</x:si>
  <x:si>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</x:si>
  <x:si>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</x:si>
  <x:si>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</x:si>
  <x:si>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381</x:t>
  </x:si>
  <x:si>
    <x:t>стажировка -&gt; mebelino-mebel.ru</x:t>
  </x:si>
  <x:si>
    <x:t>Нет</x:t>
  </x:si>
  <x:si>
    <x:t/>
  </x:si>
  <x:si>
    <x:t>Средний</x:t>
  </x:si>
  <x:si>
    <x:t>Готов</x:t>
  </x:si>
  <x:si>
    <x:t>10/2/2025 10:19:31</x:t>
  </x:si>
  <x:si>
    <x:t>тимур гатауллин</x:t>
  </x:si>
  <x:si>
    <x:t>0h 0m 0s</x:t>
  </x:si>
  <x:si>
    <x:t>открыть сайт mebelino-mebel.ru</x:t>
  </x:si>
  <x:si>
    <x:t>сайт открыт</x:t>
  </x:si>
  <x:si>
    <x:t>382</x:t>
  </x:si>
  <x:si>
    <x:t>10/2/2025 10:24:07</x:t>
  </x:si>
  <x:si>
    <x:t>0h 3m 0s</x:t>
  </x:si>
  <x:si>
    <x:t>кликнуть элементы навигационной панели в самом верху</x:t>
  </x:si>
  <x:si>
    <x:t>открывающиеся страницы соответствуют ссылкам</x:t>
  </x:si>
  <x:si>
    <x:t>383</x:t>
  </x:si>
  <x:si>
    <x:t>10/2/2025 10:25:15</x:t>
  </x:si>
  <x:si>
    <x:t>0h 1m 0s</x:t>
  </x:si>
  <x:si>
    <x:t>кликнуть логотип сайта</x:t>
  </x:si>
  <x:si>
    <x:t>открывается главная страница</x:t>
  </x:si>
  <x:si>
    <x:t>384</x:t>
  </x:si>
  <x:si>
    <x:t>10/2/2025 10:27:10</x:t>
  </x:si>
  <x:si>
    <x:t>ввести в поисковую строку валидное значение названия тора из каталога</x:t>
  </x:si>
  <x:si>
    <x:t>открывается страница с карточками товаров по запросу</x:t>
  </x:si>
  <x:si>
    <x:t>385</x:t>
  </x:si>
  <x:si>
    <x:t>10/2/2025 10:27:58</x:t>
  </x:si>
  <x:si>
    <x:t>ввести в поисковую строку несуществующее слово</x:t>
  </x:si>
  <x:si>
    <x:t>ничего не найдено</x:t>
  </x:si>
  <x:si>
    <x:t>386</x:t>
  </x:si>
  <x:si>
    <x:t>10/2/2025 10:28:59</x:t>
  </x:si>
  <x:si>
    <x:t>ввести в поисковую строку название товара из каталога с ошибочной буквой. Например, кукня</x:t>
  </x:si>
  <x:si>
    <x:t>387</x:t>
  </x:si>
  <x:si>
    <x:t>10/2/2025 10:32:19</x:t>
  </x:si>
  <x:si>
    <x:t>0h 2m 0s</x:t>
  </x:si>
  <x:si>
    <x:t>кликнуть ссылку “заказать звонок”</x:t>
  </x:si>
  <x:si>
    <x:t>открылась форма ввода данных пользователя</x:t>
  </x:si>
  <x:si>
    <x:t>ввести валидные данные имени и номера</x:t>
  </x:si>
  <x:si>
    <x:t>данные введены</x:t>
  </x:si>
  <x:si>
    <x:t>кликнуть “перезвонить мне”</x:t>
  </x:si>
  <x:si>
    <x:t>появилось окно с уведомлением о будущем звонке пользователю</x:t>
  </x:si>
  <x:si>
    <x:t>388</x:t>
  </x:si>
  <x:si>
    <x:t>10/2/2025 10:38:30</x:t>
  </x:si>
  <x:si>
    <x:t>кликнуть на ссылку “Написать нам” с логотипом whatsapp</x:t>
  </x:si>
  <x:si>
    <x:t>открылось окно для ввода данных попльзователя</x:t>
  </x:si>
  <x:si>
    <x:t>ввести валидные данные имени и телефона, кликнуть “напишите мне в whatsapp”</x:t>
  </x:si>
  <x:si>
    <x:t>открылось окно об успешной заявке</x:t>
  </x:si>
  <x:si>
    <x:t>389</x:t>
  </x:si>
  <x:si>
    <x:t>10/2/2025 10:40:21</x:t>
  </x:si>
  <x:si>
    <x:t>прокликать ссылки в навигационной строке под поиском</x:t>
  </x:si>
  <x:si>
    <x:t>ссылки кликабельны. по ним открываются корректные страницы</x:t>
  </x:si>
  <x:si>
    <x:t>390</x:t>
  </x:si>
  <x:si>
    <x:t>10/2/2025 10:45:40</x:t>
  </x:si>
  <x:si>
    <x:t>кликнуть закладку поп-ап чата</x:t>
  </x:si>
  <x:si>
    <x:t>модалка поп-ап чата открылась</x:t>
  </x:si>
  <x:si>
    <x:t>ввести запрос</x:t>
  </x:si>
  <x:si>
    <x:t>чат просит ввести контактные данные</x:t>
  </x:si>
  <x:si>
    <x:t>ввести валидные контакты в чат, кликнуть “отправить”</x:t>
  </x:si>
  <x:si>
    <x:t>запрос отправлен в поп-ап чате</x:t>
  </x:si>
  <x:si>
    <x:t>391</x:t>
  </x:si>
  <x:si>
    <x:t>10/2/2025 10:50:02</x:t>
  </x:si>
  <x:si>
    <x:t>кликнуть кнопку “Каталог мебели на заказ”</x:t>
  </x:si>
  <x:si>
    <x:t>открылись категории каталога</x:t>
  </x:si>
  <x:si>
    <x:t>прокликать разные категории и подкатегории каталога</x:t>
  </x:si>
  <x:si>
    <x:t>открываются страницы, соответствующие выбранным ссылкам</x:t>
  </x:si>
  <x:si>
    <x:t>392</x:t>
  </x:si>
  <x:si>
    <x:t>10/2/2025 10:55:18</x:t>
  </x:si>
  <x:si>
    <x:t>найти баннер-слайдер, перелистать его</x:t>
  </x:si>
  <x:si>
    <x:t>баннер-слайдер работает</x:t>
  </x:si>
  <x:si>
    <x:t>393</x:t>
  </x:si>
  <x:si>
    <x:t>10/2/2025 10:59:39</x:t>
  </x:si>
  <x:si>
    <x:t>кликнуть “Рассчитать стоимость” в левой колонке сайта</x:t>
  </x:si>
  <x:si>
    <x:t>открылось окно для ввода данных пользователя</x:t>
  </x:si>
  <x:si>
    <x:t>заполнить все поля, отправить заявку</x:t>
  </x:si>
  <x:si>
    <x:t>заявка отправлена</x:t>
  </x:si>
  <x:si>
    <x:t>394</x:t>
  </x:si>
  <x:si>
    <x:t>10/2/2025 11:01:25</x:t>
  </x:si>
  <x:si>
    <x:t>кликнуть “Презентация компании” в левой колонке сайта</x:t>
  </x:si>
  <x:si>
    <x:t>открылась видео-презентация</x:t>
  </x:si>
  <x:si>
    <x:t>395</x:t>
  </x:si>
  <x:si>
    <x:t>10/2/2025 11:02:08</x:t>
  </x:si>
  <x:si>
    <x:t>кликнуть “Реализованные проекты” в левой колонке сайта</x:t>
  </x:si>
  <x:si>
    <x:t>открылась страница с портфолио</x:t>
  </x:si>
  <x:si>
    <x:t>396</x:t>
  </x:si>
  <x:si>
    <x:t>10/2/2025 11:02:47</x:t>
  </x:si>
  <x:si>
    <x:t>кликнуть “Видеоотзывы клиентов” в левой колонке сайта</x:t>
  </x:si>
  <x:si>
    <x:t>открылась страница с видеороликами</x:t>
  </x:si>
  <x:si>
    <x:t>397</x:t>
  </x:si>
  <x:si>
    <x:t>10/2/2025 11:06:56</x:t>
  </x:si>
  <x:si>
    <x:t>проскроллить вниз</x:t>
  </x:si>
  <x:si>
    <x:t>страница скроллится</x:t>
  </x:si>
  <x:si>
    <x:t>кликать на кнопки раскрытия  “часто задаваемые вопросы”</x:t>
  </x:si>
  <x:si>
    <x:t>ответы открываются</x:t>
  </x:si>
  <x:si>
    <x:t>398</x:t>
  </x:si>
  <x:si>
    <x:t>10/2/2025 11:09:34</x:t>
  </x:si>
  <x:si>
    <x:t>прокликать ссылки в футере</x:t>
  </x:si>
  <x:si>
    <x:t>страницы открываются</x:t>
  </x:si>
  <x:si>
    <x:t>убедиться в соответствии открываемых страниц и ссылок</x:t>
  </x:si>
  <x:si>
    <x:t>открываемые страницы и ссылки соответствуют друг-другу</x:t>
  </x:si>
  <x:si>
    <x:t>399</x:t>
  </x:si>
  <x:si>
    <x:t>10/2/2025 11:16:47</x:t>
  </x:si>
  <x:si>
    <x:t>открыть карточку товара из каталога</x:t>
  </x:si>
  <x:si>
    <x:t>карточка открыта</x:t>
  </x:si>
  <x:si>
    <x:t>кликнуть сердечко избранного</x:t>
  </x:si>
  <x:si>
    <x:t>товар добавлен в избранное (в шапке  значок Избранного отреагировал)</x:t>
  </x:si>
  <x:si>
    <x:t>товар удален из избранного (в шапке  значок Избранного отреагировал)</x:t>
  </x:si>
  <x:si>
    <x:t>400</x:t>
  </x:si>
  <x:si>
    <x:t>10/2/2025 11:19:16</x:t>
  </x:si>
  <x:si>
    <x:t>кликнуть “расчет проекта”</x:t>
  </x:si>
  <x:si>
    <x:t>открылось окно с заявкой</x:t>
  </x:si>
  <x:si>
    <x:t>ввести в поле “Длина” буквы</x:t>
  </x:si>
  <x:si>
    <x:t>буквы не вводятся</x:t>
  </x:si>
  <x:si>
    <x:t>401</x:t>
  </x:si>
  <x:si>
    <x:t>10/2/2025 11:21:12</x:t>
  </x:si>
  <x:si>
    <x:t>ввести в поле “Длина” цифры</x:t>
  </x:si>
  <x:si>
    <x:t>цифры введены</x:t>
  </x:si>
  <x:si>
    <x:t>поля Высота и Глубина оставить пустыми</x:t>
  </x:si>
  <x:si>
    <x:t>поля пусты</x:t>
  </x:si>
  <x:si>
    <x:t>нажать Далее</x:t>
  </x:si>
  <x:si>
    <x:t>валидация не проходит</x:t>
  </x:si>
  <x:si>
    <x:t>402</x:t>
  </x:si>
  <x:si>
    <x:t>Не готов</x:t>
  </x:si>
  <x:si>
    <x:t>10/2/2025 11:27:01</x:t>
  </x:si>
  <x:si>
    <x:t>0h 5m 0s</x:t>
  </x:si>
  <x:si>
    <x:t>ввести в полях Длина, Высота и Глубина цифры</x:t>
  </x:si>
  <x:si>
    <x:t>выбрать вариант открытия дверей</x:t>
  </x:si>
  <x:si>
    <x:t>выбран вариант из выпавшего списка</x:t>
  </x:si>
  <x:si>
    <x:t>открылось окно для заявки</x:t>
  </x:si>
  <x:si>
    <x:t>выбрать любые варианты, заполнить поля с контактами пользователя, нажать “Далее”</x:t>
  </x:si>
  <x:si>
    <x:t>открылась капча</x:t>
  </x:si>
  <x:si>
    <x:t>пройти капчу</x:t>
  </x:si>
  <x:si>
    <x:t>открылось окно с подтверждением заявки расчета</x:t>
  </x:si>
  <x:si>
    <x:t>403</x:t>
  </x:si>
  <x:si>
    <x:t>10/2/2025 11:30:08</x:t>
  </x:si>
  <x:si>
    <x:t>кликнуть “Расчёт стоимости модели по размерам”</x:t>
  </x:si>
  <x:si>
    <x:t>открылось окно с формами для заполнения</x:t>
  </x:si>
  <x:si>
    <x:t>заполнить поля заявки, кликнуть “отправить заявку”</x:t>
  </x:si>
  <x:si>
    <x:t>открылось окно с подтверждением отправленной заявки</x:t>
  </x:si>
  <x:si>
    <x:t>404</x:t>
  </x:si>
  <x:si>
    <x:t>10/2/2025 11:35:31</x:t>
  </x:si>
  <x:si>
    <x:t>в карточке товара кликнуть “описание модели”, “способы оплаты”, “гарантия и возврат”, “доставка и сборка”</x:t>
  </x:si>
  <x:si>
    <x:t>560</x:t>
  </x:si>
  <x:si>
    <x:t>Низкий</x:t>
  </x:si>
  <x:si>
    <x:t>10/7/2025 08:20:25</x:t>
  </x:si>
  <x:si>
    <x:t>негативный</x:t>
  </x:si>
  <x:si>
    <x:t>перейти в карточку товара</x:t>
  </x:si>
  <x:si>
    <x:t>открылась карточка товара</x:t>
  </x:si>
  <x:si>
    <x:t>в адресной строке сайта добавить несколько произвольных символов, нажать Enter</x:t>
  </x:si>
  <x:si>
    <x:t>открылась страница сайта с ошибкой</x:t>
  </x:si>
  <x:si>
    <x:t>561</x:t>
  </x:si>
  <x:si>
    <x:t>10/7/2025 08:30:07</x:t>
  </x:si>
  <x:si>
    <x:t>открылась форма для ввода данных</x:t>
  </x:si>
  <x:si>
    <x:t>в поле для загрузки файла загрузить  видеоролик</x:t>
  </x:si>
  <x:si>
    <x:t>ошибка загрузки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</x:si>
</x:sst>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08" totalsRowShown="0">
  <x:autoFilter ref="A1:Q108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08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31.710625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1.853482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HYPERLINK("https://team-v23u.testit.software/projects/142/tests/381", "старт")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HYPERLINK("https://team-v23u.testit.software/projects/142/tests/382", "навиг панель")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21</x:v>
      </x:c>
      <x:c r="M4" s="1" t="s">
        <x:v>22</x:v>
      </x:c>
      <x:c r="N4" s="1" t="s">
        <x:v>29</x:v>
      </x:c>
      <x:c r="O4" s="1" t="s">
        <x:v>24</x:v>
      </x:c>
      <x:c r="P4" s="1" t="s">
        <x:v>30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26</x:v>
      </x:c>
      <x:c r="G5" s="1" t="s">
        <x:v>20</x:v>
      </x:c>
      <x:c r="H5" s="1" t="s">
        <x:v>27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31</x:v>
      </x:c>
      <x:c r="G6" s="1" t="s">
        <x:v>20</x:v>
      </x:c>
      <x:c r="H6" s="1" t="s">
        <x:v>32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33</x:v>
      </x:c>
      <x:c r="B7" s="2" t="s">
        <x:v>18</x:v>
      </x:c>
      <x:c r="C7" s="2">
        <x:f>HYPERLINK("https://team-v23u.testit.software/projects/142/tests/383", "лого")</x:f>
      </x:c>
      <x:c r="D7" s="1" t="s">
        <x:v>19</x:v>
      </x:c>
      <x:c r="E7" s="1" t="s">
        <x:v>20</x:v>
      </x:c>
      <x:c r="F7" s="1" t="s">
        <x:v>20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21</x:v>
      </x:c>
      <x:c r="M7" s="1" t="s">
        <x:v>22</x:v>
      </x:c>
      <x:c r="N7" s="1" t="s">
        <x:v>34</x:v>
      </x:c>
      <x:c r="O7" s="1" t="s">
        <x:v>24</x:v>
      </x:c>
      <x:c r="P7" s="1" t="s">
        <x:v>35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26</x:v>
      </x:c>
      <x:c r="G8" s="1" t="s">
        <x:v>20</x:v>
      </x:c>
      <x:c r="H8" s="1" t="s">
        <x:v>27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36</x:v>
      </x:c>
      <x:c r="G9" s="1" t="s">
        <x:v>20</x:v>
      </x:c>
      <x:c r="H9" s="1" t="s">
        <x:v>37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38</x:v>
      </x:c>
      <x:c r="B10" s="2" t="s">
        <x:v>18</x:v>
      </x:c>
      <x:c r="C10" s="2">
        <x:f>HYPERLINK("https://team-v23u.testit.software/projects/142/tests/384", "поиск")</x:f>
      </x:c>
      <x:c r="D10" s="1" t="s">
        <x:v>19</x:v>
      </x:c>
      <x:c r="E10" s="1" t="s">
        <x:v>20</x:v>
      </x:c>
      <x:c r="F10" s="1" t="s">
        <x:v>20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21</x:v>
      </x:c>
      <x:c r="M10" s="1" t="s">
        <x:v>22</x:v>
      </x:c>
      <x:c r="N10" s="1" t="s">
        <x:v>39</x:v>
      </x:c>
      <x:c r="O10" s="1" t="s">
        <x:v>24</x:v>
      </x:c>
      <x:c r="P10" s="1" t="s">
        <x:v>35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26</x:v>
      </x:c>
      <x:c r="G11" s="1" t="s">
        <x:v>20</x:v>
      </x:c>
      <x:c r="H11" s="1" t="s">
        <x:v>27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40</x:v>
      </x:c>
      <x:c r="G12" s="1" t="s">
        <x:v>20</x:v>
      </x:c>
      <x:c r="H12" s="1" t="s">
        <x:v>41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42</x:v>
      </x:c>
      <x:c r="B13" s="2" t="s">
        <x:v>18</x:v>
      </x:c>
      <x:c r="C13" s="2">
        <x:f>HYPERLINK("https://team-v23u.testit.software/projects/142/tests/385", " поиск негатив")</x:f>
      </x:c>
      <x:c r="D13" s="1" t="s">
        <x:v>19</x:v>
      </x:c>
      <x:c r="E13" s="1" t="s">
        <x:v>20</x:v>
      </x:c>
      <x:c r="F13" s="1" t="s">
        <x:v>20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21</x:v>
      </x:c>
      <x:c r="M13" s="1" t="s">
        <x:v>22</x:v>
      </x:c>
      <x:c r="N13" s="1" t="s">
        <x:v>43</x:v>
      </x:c>
      <x:c r="O13" s="1" t="s">
        <x:v>24</x:v>
      </x:c>
      <x:c r="P13" s="1" t="s">
        <x:v>35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26</x:v>
      </x:c>
      <x:c r="G14" s="1" t="s">
        <x:v>20</x:v>
      </x:c>
      <x:c r="H14" s="1" t="s">
        <x:v>27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44</x:v>
      </x:c>
      <x:c r="G15" s="1" t="s">
        <x:v>20</x:v>
      </x:c>
      <x:c r="H15" s="1" t="s">
        <x:v>45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46</x:v>
      </x:c>
      <x:c r="B16" s="2" t="s">
        <x:v>18</x:v>
      </x:c>
      <x:c r="C16" s="2">
        <x:f>HYPERLINK("https://team-v23u.testit.software/projects/142/tests/386", " поиск негатив кукня")</x:f>
      </x:c>
      <x:c r="D16" s="1" t="s">
        <x:v>19</x:v>
      </x:c>
      <x:c r="E16" s="1" t="s">
        <x:v>20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21</x:v>
      </x:c>
      <x:c r="M16" s="1" t="s">
        <x:v>22</x:v>
      </x:c>
      <x:c r="N16" s="1" t="s">
        <x:v>47</x:v>
      </x:c>
      <x:c r="O16" s="1" t="s">
        <x:v>24</x:v>
      </x:c>
      <x:c r="P16" s="1" t="s">
        <x:v>35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26</x:v>
      </x:c>
      <x:c r="G17" s="1" t="s">
        <x:v>20</x:v>
      </x:c>
      <x:c r="H17" s="1" t="s">
        <x:v>27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48</x:v>
      </x:c>
      <x:c r="G18" s="1" t="s">
        <x:v>20</x:v>
      </x:c>
      <x:c r="H18" s="1" t="s">
        <x:v>45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49</x:v>
      </x:c>
      <x:c r="B19" s="2" t="s">
        <x:v>18</x:v>
      </x:c>
      <x:c r="C19" s="2">
        <x:f>HYPERLINK("https://team-v23u.testit.software/projects/142/tests/387", "заказать звонок")</x:f>
      </x:c>
      <x:c r="D19" s="1" t="s">
        <x:v>19</x:v>
      </x:c>
      <x:c r="E19" s="1" t="s">
        <x:v>20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21</x:v>
      </x:c>
      <x:c r="M19" s="1" t="s">
        <x:v>22</x:v>
      </x:c>
      <x:c r="N19" s="1" t="s">
        <x:v>50</x:v>
      </x:c>
      <x:c r="O19" s="1" t="s">
        <x:v>24</x:v>
      </x:c>
      <x:c r="P19" s="1" t="s">
        <x:v>51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26</x:v>
      </x:c>
      <x:c r="G20" s="1" t="s">
        <x:v>20</x:v>
      </x:c>
      <x:c r="H20" s="1" t="s">
        <x:v>27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52</x:v>
      </x:c>
      <x:c r="G21" s="1" t="s">
        <x:v>20</x:v>
      </x:c>
      <x:c r="H21" s="1" t="s">
        <x:v>53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54</x:v>
      </x:c>
      <x:c r="G22" s="1" t="s">
        <x:v>20</x:v>
      </x:c>
      <x:c r="H22" s="1" t="s">
        <x:v>55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56</x:v>
      </x:c>
      <x:c r="G23" s="1" t="s">
        <x:v>20</x:v>
      </x:c>
      <x:c r="H23" s="1" t="s">
        <x:v>57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58</x:v>
      </x:c>
      <x:c r="B24" s="2" t="s">
        <x:v>18</x:v>
      </x:c>
      <x:c r="C24" s="2">
        <x:f>HYPERLINK("https://team-v23u.testit.software/projects/142/tests/388", "whatsapp")</x:f>
      </x:c>
      <x:c r="D24" s="1" t="s">
        <x:v>19</x:v>
      </x:c>
      <x:c r="E24" s="1" t="s">
        <x:v>20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21</x:v>
      </x:c>
      <x:c r="M24" s="1" t="s">
        <x:v>22</x:v>
      </x:c>
      <x:c r="N24" s="1" t="s">
        <x:v>59</x:v>
      </x:c>
      <x:c r="O24" s="1" t="s">
        <x:v>24</x:v>
      </x:c>
      <x:c r="P24" s="1" t="s">
        <x:v>51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26</x:v>
      </x:c>
      <x:c r="G25" s="1" t="s">
        <x:v>20</x:v>
      </x:c>
      <x:c r="H25" s="1" t="s">
        <x:v>27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60</x:v>
      </x:c>
      <x:c r="G26" s="1" t="s">
        <x:v>20</x:v>
      </x:c>
      <x:c r="H26" s="1" t="s">
        <x:v>61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62</x:v>
      </x:c>
      <x:c r="G27" s="1" t="s">
        <x:v>20</x:v>
      </x:c>
      <x:c r="H27" s="1" t="s">
        <x:v>63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64</x:v>
      </x:c>
      <x:c r="B28" s="2" t="s">
        <x:v>18</x:v>
      </x:c>
      <x:c r="C28" s="2">
        <x:f>HYPERLINK("https://team-v23u.testit.software/projects/142/tests/389", "нав строка под поиском")</x:f>
      </x:c>
      <x:c r="D28" s="1" t="s">
        <x:v>19</x:v>
      </x:c>
      <x:c r="E28" s="1" t="s">
        <x:v>20</x:v>
      </x:c>
      <x:c r="F28" s="1" t="s">
        <x:v>20</x:v>
      </x:c>
      <x:c r="G28" s="1" t="s">
        <x:v>20</x:v>
      </x:c>
      <x:c r="H28" s="1" t="s">
        <x:v>20</x:v>
      </x:c>
      <x:c r="I28" s="1" t="s">
        <x:v>20</x:v>
      </x:c>
      <x:c r="J28" s="1" t="s">
        <x:v>20</x:v>
      </x:c>
      <x:c r="K28" s="1" t="s">
        <x:v>20</x:v>
      </x:c>
      <x:c r="L28" s="1" t="s">
        <x:v>21</x:v>
      </x:c>
      <x:c r="M28" s="1" t="s">
        <x:v>22</x:v>
      </x:c>
      <x:c r="N28" s="1" t="s">
        <x:v>65</x:v>
      </x:c>
      <x:c r="O28" s="1" t="s">
        <x:v>24</x:v>
      </x:c>
      <x:c r="P28" s="1" t="s">
        <x:v>51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26</x:v>
      </x:c>
      <x:c r="G29" s="1" t="s">
        <x:v>20</x:v>
      </x:c>
      <x:c r="H29" s="1" t="s">
        <x:v>27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66</x:v>
      </x:c>
      <x:c r="G30" s="1" t="s">
        <x:v>20</x:v>
      </x:c>
      <x:c r="H30" s="1" t="s">
        <x:v>67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68</x:v>
      </x:c>
      <x:c r="B31" s="2" t="s">
        <x:v>18</x:v>
      </x:c>
      <x:c r="C31" s="2">
        <x:f>HYPERLINK("https://team-v23u.testit.software/projects/142/tests/390", "поп-ап")</x:f>
      </x:c>
      <x:c r="D31" s="1" t="s">
        <x:v>19</x:v>
      </x:c>
      <x:c r="E31" s="1" t="s">
        <x:v>20</x:v>
      </x:c>
      <x:c r="F31" s="1" t="s">
        <x:v>20</x:v>
      </x:c>
      <x:c r="G31" s="1" t="s">
        <x:v>20</x:v>
      </x:c>
      <x:c r="H31" s="1" t="s">
        <x:v>20</x:v>
      </x:c>
      <x:c r="I31" s="1" t="s">
        <x:v>20</x:v>
      </x:c>
      <x:c r="J31" s="1" t="s">
        <x:v>20</x:v>
      </x:c>
      <x:c r="K31" s="1" t="s">
        <x:v>20</x:v>
      </x:c>
      <x:c r="L31" s="1" t="s">
        <x:v>21</x:v>
      </x:c>
      <x:c r="M31" s="1" t="s">
        <x:v>22</x:v>
      </x:c>
      <x:c r="N31" s="1" t="s">
        <x:v>69</x:v>
      </x:c>
      <x:c r="O31" s="1" t="s">
        <x:v>24</x:v>
      </x:c>
      <x:c r="P31" s="1" t="s">
        <x:v>51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26</x:v>
      </x:c>
      <x:c r="G32" s="1" t="s">
        <x:v>20</x:v>
      </x:c>
      <x:c r="H32" s="1" t="s">
        <x:v>27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70</x:v>
      </x:c>
      <x:c r="G33" s="1" t="s">
        <x:v>20</x:v>
      </x:c>
      <x:c r="H33" s="1" t="s">
        <x:v>71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72</x:v>
      </x:c>
      <x:c r="G34" s="1" t="s">
        <x:v>20</x:v>
      </x:c>
      <x:c r="H34" s="1" t="s">
        <x:v>73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74</x:v>
      </x:c>
      <x:c r="G35" s="1" t="s">
        <x:v>20</x:v>
      </x:c>
      <x:c r="H35" s="1" t="s">
        <x:v>75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76</x:v>
      </x:c>
      <x:c r="B36" s="2" t="s">
        <x:v>18</x:v>
      </x:c>
      <x:c r="C36" s="2">
        <x:f>HYPERLINK("https://team-v23u.testit.software/projects/142/tests/391", "каталог мебели")</x:f>
      </x:c>
      <x:c r="D36" s="1" t="s">
        <x:v>19</x:v>
      </x:c>
      <x:c r="E36" s="1" t="s">
        <x:v>20</x:v>
      </x:c>
      <x:c r="F36" s="1" t="s">
        <x:v>20</x:v>
      </x:c>
      <x:c r="G36" s="1" t="s">
        <x:v>20</x:v>
      </x:c>
      <x:c r="H36" s="1" t="s">
        <x:v>20</x:v>
      </x:c>
      <x:c r="I36" s="1" t="s">
        <x:v>20</x:v>
      </x:c>
      <x:c r="J36" s="1" t="s">
        <x:v>20</x:v>
      </x:c>
      <x:c r="K36" s="1" t="s">
        <x:v>20</x:v>
      </x:c>
      <x:c r="L36" s="1" t="s">
        <x:v>21</x:v>
      </x:c>
      <x:c r="M36" s="1" t="s">
        <x:v>22</x:v>
      </x:c>
      <x:c r="N36" s="1" t="s">
        <x:v>77</x:v>
      </x:c>
      <x:c r="O36" s="1" t="s">
        <x:v>24</x:v>
      </x:c>
      <x:c r="P36" s="1" t="s">
        <x:v>51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26</x:v>
      </x:c>
      <x:c r="G37" s="1" t="s">
        <x:v>20</x:v>
      </x:c>
      <x:c r="H37" s="1" t="s">
        <x:v>27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78</x:v>
      </x:c>
      <x:c r="G38" s="1" t="s">
        <x:v>20</x:v>
      </x:c>
      <x:c r="H38" s="1" t="s">
        <x:v>79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80</x:v>
      </x:c>
      <x:c r="G39" s="1" t="s">
        <x:v>20</x:v>
      </x:c>
      <x:c r="H39" s="1" t="s">
        <x:v>81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82</x:v>
      </x:c>
      <x:c r="B40" s="2" t="s">
        <x:v>18</x:v>
      </x:c>
      <x:c r="C40" s="2">
        <x:f>HYPERLINK("https://team-v23u.testit.software/projects/142/tests/392", "баннер-слайдер")</x:f>
      </x:c>
      <x:c r="D40" s="1" t="s">
        <x:v>19</x:v>
      </x:c>
      <x:c r="E40" s="1" t="s">
        <x:v>20</x:v>
      </x:c>
      <x:c r="F40" s="1" t="s">
        <x:v>20</x:v>
      </x:c>
      <x:c r="G40" s="1" t="s">
        <x:v>20</x:v>
      </x:c>
      <x:c r="H40" s="1" t="s">
        <x:v>20</x:v>
      </x:c>
      <x:c r="I40" s="1" t="s">
        <x:v>20</x:v>
      </x:c>
      <x:c r="J40" s="1" t="s">
        <x:v>20</x:v>
      </x:c>
      <x:c r="K40" s="1" t="s">
        <x:v>20</x:v>
      </x:c>
      <x:c r="L40" s="1" t="s">
        <x:v>21</x:v>
      </x:c>
      <x:c r="M40" s="1" t="s">
        <x:v>22</x:v>
      </x:c>
      <x:c r="N40" s="1" t="s">
        <x:v>83</x:v>
      </x:c>
      <x:c r="O40" s="1" t="s">
        <x:v>24</x:v>
      </x:c>
      <x:c r="P40" s="1" t="s">
        <x:v>51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26</x:v>
      </x:c>
      <x:c r="G41" s="1" t="s">
        <x:v>20</x:v>
      </x:c>
      <x:c r="H41" s="1" t="s">
        <x:v>27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84</x:v>
      </x:c>
      <x:c r="G42" s="1" t="s">
        <x:v>20</x:v>
      </x:c>
      <x:c r="H42" s="1" t="s">
        <x:v>85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86</x:v>
      </x:c>
      <x:c r="B43" s="2" t="s">
        <x:v>18</x:v>
      </x:c>
      <x:c r="C43" s="2">
        <x:f>HYPERLINK("https://team-v23u.testit.software/projects/142/tests/393", "Рассчитать стоимость")</x:f>
      </x:c>
      <x:c r="D43" s="1" t="s">
        <x:v>19</x:v>
      </x:c>
      <x:c r="E43" s="1" t="s">
        <x:v>20</x:v>
      </x:c>
      <x:c r="F43" s="1" t="s">
        <x:v>20</x:v>
      </x:c>
      <x:c r="G43" s="1" t="s">
        <x:v>20</x:v>
      </x:c>
      <x:c r="H43" s="1" t="s">
        <x:v>20</x:v>
      </x:c>
      <x:c r="I43" s="1" t="s">
        <x:v>20</x:v>
      </x:c>
      <x:c r="J43" s="1" t="s">
        <x:v>20</x:v>
      </x:c>
      <x:c r="K43" s="1" t="s">
        <x:v>20</x:v>
      </x:c>
      <x:c r="L43" s="1" t="s">
        <x:v>21</x:v>
      </x:c>
      <x:c r="M43" s="1" t="s">
        <x:v>22</x:v>
      </x:c>
      <x:c r="N43" s="1" t="s">
        <x:v>87</x:v>
      </x:c>
      <x:c r="O43" s="1" t="s">
        <x:v>24</x:v>
      </x:c>
      <x:c r="P43" s="1" t="s">
        <x:v>51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26</x:v>
      </x:c>
      <x:c r="G44" s="1" t="s">
        <x:v>20</x:v>
      </x:c>
      <x:c r="H44" s="1" t="s">
        <x:v>27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88</x:v>
      </x:c>
      <x:c r="G45" s="1" t="s">
        <x:v>20</x:v>
      </x:c>
      <x:c r="H45" s="1" t="s">
        <x:v>89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90</x:v>
      </x:c>
      <x:c r="G46" s="1" t="s">
        <x:v>20</x:v>
      </x:c>
      <x:c r="H46" s="1" t="s">
        <x:v>91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92</x:v>
      </x:c>
      <x:c r="B47" s="2" t="s">
        <x:v>18</x:v>
      </x:c>
      <x:c r="C47" s="2">
        <x:f>HYPERLINK("https://team-v23u.testit.software/projects/142/tests/394", "Презентация компании")</x:f>
      </x:c>
      <x:c r="D47" s="1" t="s">
        <x:v>19</x:v>
      </x:c>
      <x:c r="E47" s="1" t="s">
        <x:v>20</x:v>
      </x:c>
      <x:c r="F47" s="1" t="s">
        <x:v>20</x:v>
      </x:c>
      <x:c r="G47" s="1" t="s">
        <x:v>20</x:v>
      </x:c>
      <x:c r="H47" s="1" t="s">
        <x:v>20</x:v>
      </x:c>
      <x:c r="I47" s="1" t="s">
        <x:v>20</x:v>
      </x:c>
      <x:c r="J47" s="1" t="s">
        <x:v>20</x:v>
      </x:c>
      <x:c r="K47" s="1" t="s">
        <x:v>20</x:v>
      </x:c>
      <x:c r="L47" s="1" t="s">
        <x:v>21</x:v>
      </x:c>
      <x:c r="M47" s="1" t="s">
        <x:v>22</x:v>
      </x:c>
      <x:c r="N47" s="1" t="s">
        <x:v>93</x:v>
      </x:c>
      <x:c r="O47" s="1" t="s">
        <x:v>24</x:v>
      </x:c>
      <x:c r="P47" s="1" t="s">
        <x:v>51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26</x:v>
      </x:c>
      <x:c r="G48" s="1" t="s">
        <x:v>20</x:v>
      </x:c>
      <x:c r="H48" s="1" t="s">
        <x:v>27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94</x:v>
      </x:c>
      <x:c r="G49" s="1" t="s">
        <x:v>20</x:v>
      </x:c>
      <x:c r="H49" s="1" t="s">
        <x:v>95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96</x:v>
      </x:c>
      <x:c r="B50" s="2" t="s">
        <x:v>18</x:v>
      </x:c>
      <x:c r="C50" s="2">
        <x:f>HYPERLINK("https://team-v23u.testit.software/projects/142/tests/395", "Реализованные проекты")</x:f>
      </x:c>
      <x:c r="D50" s="1" t="s">
        <x:v>19</x:v>
      </x:c>
      <x:c r="E50" s="1" t="s">
        <x:v>20</x:v>
      </x:c>
      <x:c r="F50" s="1" t="s">
        <x:v>20</x:v>
      </x:c>
      <x:c r="G50" s="1" t="s">
        <x:v>20</x:v>
      </x:c>
      <x:c r="H50" s="1" t="s">
        <x:v>20</x:v>
      </x:c>
      <x:c r="I50" s="1" t="s">
        <x:v>20</x:v>
      </x:c>
      <x:c r="J50" s="1" t="s">
        <x:v>20</x:v>
      </x:c>
      <x:c r="K50" s="1" t="s">
        <x:v>20</x:v>
      </x:c>
      <x:c r="L50" s="1" t="s">
        <x:v>21</x:v>
      </x:c>
      <x:c r="M50" s="1" t="s">
        <x:v>22</x:v>
      </x:c>
      <x:c r="N50" s="1" t="s">
        <x:v>97</x:v>
      </x:c>
      <x:c r="O50" s="1" t="s">
        <x:v>24</x:v>
      </x:c>
      <x:c r="P50" s="1" t="s">
        <x:v>51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26</x:v>
      </x:c>
      <x:c r="G51" s="1" t="s">
        <x:v>20</x:v>
      </x:c>
      <x:c r="H51" s="1" t="s">
        <x:v>27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98</x:v>
      </x:c>
      <x:c r="G52" s="1" t="s">
        <x:v>20</x:v>
      </x:c>
      <x:c r="H52" s="1" t="s">
        <x:v>99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100</x:v>
      </x:c>
      <x:c r="B53" s="2" t="s">
        <x:v>18</x:v>
      </x:c>
      <x:c r="C53" s="2">
        <x:f>HYPERLINK("https://team-v23u.testit.software/projects/142/tests/396", "Видеоотзывы клиентов")</x:f>
      </x:c>
      <x:c r="D53" s="1" t="s">
        <x:v>19</x:v>
      </x:c>
      <x:c r="E53" s="1" t="s">
        <x:v>20</x:v>
      </x:c>
      <x:c r="F53" s="1" t="s">
        <x:v>20</x:v>
      </x:c>
      <x:c r="G53" s="1" t="s">
        <x:v>20</x:v>
      </x:c>
      <x:c r="H53" s="1" t="s">
        <x:v>20</x:v>
      </x:c>
      <x:c r="I53" s="1" t="s">
        <x:v>20</x:v>
      </x:c>
      <x:c r="J53" s="1" t="s">
        <x:v>20</x:v>
      </x:c>
      <x:c r="K53" s="1" t="s">
        <x:v>20</x:v>
      </x:c>
      <x:c r="L53" s="1" t="s">
        <x:v>21</x:v>
      </x:c>
      <x:c r="M53" s="1" t="s">
        <x:v>22</x:v>
      </x:c>
      <x:c r="N53" s="1" t="s">
        <x:v>101</x:v>
      </x:c>
      <x:c r="O53" s="1" t="s">
        <x:v>24</x:v>
      </x:c>
      <x:c r="P53" s="1" t="s">
        <x:v>51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26</x:v>
      </x:c>
      <x:c r="G54" s="1" t="s">
        <x:v>20</x:v>
      </x:c>
      <x:c r="H54" s="1" t="s">
        <x:v>27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102</x:v>
      </x:c>
      <x:c r="G55" s="1" t="s">
        <x:v>20</x:v>
      </x:c>
      <x:c r="H55" s="1" t="s">
        <x:v>103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104</x:v>
      </x:c>
      <x:c r="B56" s="2" t="s">
        <x:v>18</x:v>
      </x:c>
      <x:c r="C56" s="2">
        <x:f>HYPERLINK("https://team-v23u.testit.software/projects/142/tests/397", "FAQ")</x:f>
      </x:c>
      <x:c r="D56" s="1" t="s">
        <x:v>19</x:v>
      </x:c>
      <x:c r="E56" s="1" t="s">
        <x:v>20</x:v>
      </x:c>
      <x:c r="F56" s="1" t="s">
        <x:v>20</x:v>
      </x:c>
      <x:c r="G56" s="1" t="s">
        <x:v>20</x:v>
      </x:c>
      <x:c r="H56" s="1" t="s">
        <x:v>20</x:v>
      </x:c>
      <x:c r="I56" s="1" t="s">
        <x:v>20</x:v>
      </x:c>
      <x:c r="J56" s="1" t="s">
        <x:v>20</x:v>
      </x:c>
      <x:c r="K56" s="1" t="s">
        <x:v>20</x:v>
      </x:c>
      <x:c r="L56" s="1" t="s">
        <x:v>21</x:v>
      </x:c>
      <x:c r="M56" s="1" t="s">
        <x:v>22</x:v>
      </x:c>
      <x:c r="N56" s="1" t="s">
        <x:v>105</x:v>
      </x:c>
      <x:c r="O56" s="1" t="s">
        <x:v>24</x:v>
      </x:c>
      <x:c r="P56" s="1" t="s">
        <x:v>51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26</x:v>
      </x:c>
      <x:c r="G57" s="1" t="s">
        <x:v>20</x:v>
      </x:c>
      <x:c r="H57" s="1" t="s">
        <x:v>27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106</x:v>
      </x:c>
      <x:c r="G58" s="1" t="s">
        <x:v>20</x:v>
      </x:c>
      <x:c r="H58" s="1" t="s">
        <x:v>107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108</x:v>
      </x:c>
      <x:c r="G59" s="1" t="s">
        <x:v>20</x:v>
      </x:c>
      <x:c r="H59" s="1" t="s">
        <x:v>109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110</x:v>
      </x:c>
      <x:c r="B60" s="2" t="s">
        <x:v>18</x:v>
      </x:c>
      <x:c r="C60" s="2">
        <x:f>HYPERLINK("https://team-v23u.testit.software/projects/142/tests/398", "футер")</x:f>
      </x:c>
      <x:c r="D60" s="1" t="s">
        <x:v>19</x:v>
      </x:c>
      <x:c r="E60" s="1" t="s">
        <x:v>20</x:v>
      </x:c>
      <x:c r="F60" s="1" t="s">
        <x:v>20</x:v>
      </x:c>
      <x:c r="G60" s="1" t="s">
        <x:v>20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21</x:v>
      </x:c>
      <x:c r="M60" s="1" t="s">
        <x:v>22</x:v>
      </x:c>
      <x:c r="N60" s="1" t="s">
        <x:v>111</x:v>
      </x:c>
      <x:c r="O60" s="1" t="s">
        <x:v>24</x:v>
      </x:c>
      <x:c r="P60" s="1" t="s">
        <x:v>51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26</x:v>
      </x:c>
      <x:c r="G61" s="1" t="s">
        <x:v>20</x:v>
      </x:c>
      <x:c r="H61" s="1" t="s">
        <x:v>27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106</x:v>
      </x:c>
      <x:c r="G62" s="1" t="s">
        <x:v>20</x:v>
      </x:c>
      <x:c r="H62" s="1" t="s">
        <x:v>107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112</x:v>
      </x:c>
      <x:c r="G63" s="1" t="s">
        <x:v>20</x:v>
      </x:c>
      <x:c r="H63" s="1" t="s">
        <x:v>113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114</x:v>
      </x:c>
      <x:c r="G64" s="1" t="s">
        <x:v>20</x:v>
      </x:c>
      <x:c r="H64" s="1" t="s">
        <x:v>115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116</x:v>
      </x:c>
      <x:c r="B65" s="2" t="s">
        <x:v>18</x:v>
      </x:c>
      <x:c r="C65" s="2">
        <x:f>HYPERLINK("https://team-v23u.testit.software/projects/142/tests/399", "карточка товара-избранное")</x:f>
      </x:c>
      <x:c r="D65" s="1" t="s">
        <x:v>19</x:v>
      </x:c>
      <x:c r="E65" s="1" t="s">
        <x:v>20</x:v>
      </x:c>
      <x:c r="F65" s="1" t="s">
        <x:v>20</x:v>
      </x:c>
      <x:c r="G65" s="1" t="s">
        <x:v>20</x:v>
      </x:c>
      <x:c r="H65" s="1" t="s">
        <x:v>20</x:v>
      </x:c>
      <x:c r="I65" s="1" t="s">
        <x:v>20</x:v>
      </x:c>
      <x:c r="J65" s="1" t="s">
        <x:v>20</x:v>
      </x:c>
      <x:c r="K65" s="1" t="s">
        <x:v>20</x:v>
      </x:c>
      <x:c r="L65" s="1" t="s">
        <x:v>21</x:v>
      </x:c>
      <x:c r="M65" s="1" t="s">
        <x:v>22</x:v>
      </x:c>
      <x:c r="N65" s="1" t="s">
        <x:v>117</x:v>
      </x:c>
      <x:c r="O65" s="1" t="s">
        <x:v>24</x:v>
      </x:c>
      <x:c r="P65" s="1" t="s">
        <x:v>51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26</x:v>
      </x:c>
      <x:c r="G66" s="1" t="s">
        <x:v>20</x:v>
      </x:c>
      <x:c r="H66" s="1" t="s">
        <x:v>27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118</x:v>
      </x:c>
      <x:c r="G67" s="1" t="s">
        <x:v>20</x:v>
      </x:c>
      <x:c r="H67" s="1" t="s">
        <x:v>119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120</x:v>
      </x:c>
      <x:c r="G68" s="1" t="s">
        <x:v>20</x:v>
      </x:c>
      <x:c r="H68" s="1" t="s">
        <x:v>121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120</x:v>
      </x:c>
      <x:c r="G69" s="1" t="s">
        <x:v>20</x:v>
      </x:c>
      <x:c r="H69" s="1" t="s">
        <x:v>122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123</x:v>
      </x:c>
      <x:c r="B70" s="2" t="s">
        <x:v>18</x:v>
      </x:c>
      <x:c r="C70" s="2">
        <x:f>HYPERLINK("https://team-v23u.testit.software/projects/142/tests/400", " карточка товара-расчет проекта-буквы")</x:f>
      </x:c>
      <x:c r="D70" s="1" t="s">
        <x:v>19</x:v>
      </x:c>
      <x:c r="E70" s="1" t="s">
        <x:v>20</x:v>
      </x:c>
      <x:c r="F70" s="1" t="s">
        <x:v>20</x:v>
      </x:c>
      <x:c r="G70" s="1" t="s">
        <x:v>20</x:v>
      </x:c>
      <x:c r="H70" s="1" t="s">
        <x:v>20</x:v>
      </x:c>
      <x:c r="I70" s="1" t="s">
        <x:v>20</x:v>
      </x:c>
      <x:c r="J70" s="1" t="s">
        <x:v>20</x:v>
      </x:c>
      <x:c r="K70" s="1" t="s">
        <x:v>20</x:v>
      </x:c>
      <x:c r="L70" s="1" t="s">
        <x:v>21</x:v>
      </x:c>
      <x:c r="M70" s="1" t="s">
        <x:v>22</x:v>
      </x:c>
      <x:c r="N70" s="1" t="s">
        <x:v>124</x:v>
      </x:c>
      <x:c r="O70" s="1" t="s">
        <x:v>24</x:v>
      </x:c>
      <x:c r="P70" s="1" t="s">
        <x:v>51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20</x:v>
      </x:c>
      <x:c r="F71" s="1" t="s">
        <x:v>26</x:v>
      </x:c>
      <x:c r="G71" s="1" t="s">
        <x:v>20</x:v>
      </x:c>
      <x:c r="H71" s="1" t="s">
        <x:v>27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118</x:v>
      </x:c>
      <x:c r="G72" s="1" t="s">
        <x:v>20</x:v>
      </x:c>
      <x:c r="H72" s="1" t="s">
        <x:v>119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125</x:v>
      </x:c>
      <x:c r="G73" s="1" t="s">
        <x:v>20</x:v>
      </x:c>
      <x:c r="H73" s="1" t="s">
        <x:v>126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127</x:v>
      </x:c>
      <x:c r="G74" s="1" t="s">
        <x:v>20</x:v>
      </x:c>
      <x:c r="H74" s="1" t="s">
        <x:v>128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129</x:v>
      </x:c>
      <x:c r="B75" s="2" t="s">
        <x:v>18</x:v>
      </x:c>
      <x:c r="C75" s="2">
        <x:f>HYPERLINK("https://team-v23u.testit.software/projects/142/tests/401", "  карточка товара-расчет проекта-цифры-только длина")</x:f>
      </x:c>
      <x:c r="D75" s="1" t="s">
        <x:v>19</x:v>
      </x:c>
      <x:c r="E75" s="1" t="s">
        <x:v>20</x:v>
      </x:c>
      <x:c r="F75" s="1" t="s">
        <x:v>20</x:v>
      </x:c>
      <x:c r="G75" s="1" t="s">
        <x:v>20</x:v>
      </x:c>
      <x:c r="H75" s="1" t="s">
        <x:v>20</x:v>
      </x:c>
      <x:c r="I75" s="1" t="s">
        <x:v>20</x:v>
      </x:c>
      <x:c r="J75" s="1" t="s">
        <x:v>20</x:v>
      </x:c>
      <x:c r="K75" s="1" t="s">
        <x:v>20</x:v>
      </x:c>
      <x:c r="L75" s="1" t="s">
        <x:v>21</x:v>
      </x:c>
      <x:c r="M75" s="1" t="s">
        <x:v>22</x:v>
      </x:c>
      <x:c r="N75" s="1" t="s">
        <x:v>130</x:v>
      </x:c>
      <x:c r="O75" s="1" t="s">
        <x:v>24</x:v>
      </x:c>
      <x:c r="P75" s="1" t="s">
        <x:v>51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26</x:v>
      </x:c>
      <x:c r="G76" s="1" t="s">
        <x:v>20</x:v>
      </x:c>
      <x:c r="H76" s="1" t="s">
        <x:v>27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118</x:v>
      </x:c>
      <x:c r="G77" s="1" t="s">
        <x:v>20</x:v>
      </x:c>
      <x:c r="H77" s="1" t="s">
        <x:v>119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1" t="s">
        <x:v>125</x:v>
      </x:c>
      <x:c r="G78" s="1" t="s">
        <x:v>20</x:v>
      </x:c>
      <x:c r="H78" s="1" t="s">
        <x:v>126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20</x:v>
      </x:c>
      <x:c r="F79" s="1" t="s">
        <x:v>131</x:v>
      </x:c>
      <x:c r="G79" s="1" t="s">
        <x:v>20</x:v>
      </x:c>
      <x:c r="H79" s="1" t="s">
        <x:v>132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20</x:v>
      </x:c>
      <x:c r="F80" s="1" t="s">
        <x:v>133</x:v>
      </x:c>
      <x:c r="G80" s="1" t="s">
        <x:v>20</x:v>
      </x:c>
      <x:c r="H80" s="1" t="s">
        <x:v>134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20</x:v>
      </x:c>
      <x:c r="F81" s="1" t="s">
        <x:v>135</x:v>
      </x:c>
      <x:c r="G81" s="1" t="s">
        <x:v>20</x:v>
      </x:c>
      <x:c r="H81" s="1" t="s">
        <x:v>136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137</x:v>
      </x:c>
      <x:c r="B82" s="2" t="s">
        <x:v>18</x:v>
      </x:c>
      <x:c r="C82" s="2">
        <x:f>HYPERLINK("https://team-v23u.testit.software/projects/142/tests/402", " карточка товара-расчет проекта-цифры- длина высота ширина !!!")</x:f>
      </x:c>
      <x:c r="D82" s="1" t="s">
        <x:v>19</x:v>
      </x:c>
      <x:c r="E82" s="1" t="s">
        <x:v>20</x:v>
      </x:c>
      <x:c r="F82" s="1" t="s">
        <x:v>20</x:v>
      </x:c>
      <x:c r="G82" s="1" t="s">
        <x:v>20</x:v>
      </x:c>
      <x:c r="H82" s="1" t="s">
        <x:v>20</x:v>
      </x:c>
      <x:c r="I82" s="1" t="s">
        <x:v>20</x:v>
      </x:c>
      <x:c r="J82" s="1" t="s">
        <x:v>20</x:v>
      </x:c>
      <x:c r="K82" s="1" t="s">
        <x:v>20</x:v>
      </x:c>
      <x:c r="L82" s="1" t="s">
        <x:v>21</x:v>
      </x:c>
      <x:c r="M82" s="1" t="s">
        <x:v>138</x:v>
      </x:c>
      <x:c r="N82" s="1" t="s">
        <x:v>139</x:v>
      </x:c>
      <x:c r="O82" s="1" t="s">
        <x:v>24</x:v>
      </x:c>
      <x:c r="P82" s="1" t="s">
        <x:v>140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26</x:v>
      </x:c>
      <x:c r="G83" s="1" t="s">
        <x:v>20</x:v>
      </x:c>
      <x:c r="H83" s="1" t="s">
        <x:v>27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1" t="s">
        <x:v>118</x:v>
      </x:c>
      <x:c r="G84" s="1" t="s">
        <x:v>20</x:v>
      </x:c>
      <x:c r="H84" s="1" t="s">
        <x:v>119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125</x:v>
      </x:c>
      <x:c r="G85" s="1" t="s">
        <x:v>20</x:v>
      </x:c>
      <x:c r="H85" s="1" t="s">
        <x:v>126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20</x:v>
      </x:c>
      <x:c r="F86" s="1" t="s">
        <x:v>141</x:v>
      </x:c>
      <x:c r="G86" s="1" t="s">
        <x:v>20</x:v>
      </x:c>
      <x:c r="H86" s="1" t="s">
        <x:v>132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142</x:v>
      </x:c>
      <x:c r="G87" s="1" t="s">
        <x:v>20</x:v>
      </x:c>
      <x:c r="H87" s="1" t="s">
        <x:v>143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20</x:v>
      </x:c>
      <x:c r="B88" s="2" t="s">
        <x:v>20</x:v>
      </x:c>
      <x:c r="C88" s="2" t="s">
        <x:v>20</x:v>
      </x:c>
      <x:c r="D88" s="1" t="s">
        <x:v>20</x:v>
      </x:c>
      <x:c r="E88" s="1" t="s">
        <x:v>20</x:v>
      </x:c>
      <x:c r="F88" s="1" t="s">
        <x:v>135</x:v>
      </x:c>
      <x:c r="G88" s="1" t="s">
        <x:v>20</x:v>
      </x:c>
      <x:c r="H88" s="1" t="s">
        <x:v>144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20</x:v>
      </x:c>
      <x:c r="F89" s="1" t="s">
        <x:v>145</x:v>
      </x:c>
      <x:c r="G89" s="1" t="s">
        <x:v>20</x:v>
      </x:c>
      <x:c r="H89" s="1" t="s">
        <x:v>146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20</x:v>
      </x:c>
      <x:c r="B90" s="2" t="s">
        <x:v>20</x:v>
      </x:c>
      <x:c r="C90" s="2" t="s">
        <x:v>20</x:v>
      </x:c>
      <x:c r="D90" s="1" t="s">
        <x:v>20</x:v>
      </x:c>
      <x:c r="E90" s="1" t="s">
        <x:v>20</x:v>
      </x:c>
      <x:c r="F90" s="1" t="s">
        <x:v>147</x:v>
      </x:c>
      <x:c r="G90" s="1" t="s">
        <x:v>20</x:v>
      </x:c>
      <x:c r="H90" s="1" t="s">
        <x:v>148</x:v>
      </x:c>
      <x:c r="I90" s="1" t="s">
        <x:v>20</x:v>
      </x:c>
      <x:c r="J90" s="1" t="s">
        <x:v>20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20</x:v>
      </x:c>
      <x:c r="Q90" s="1" t="s">
        <x:v>20</x:v>
      </x:c>
    </x:row>
    <x:row r="91" spans="1:17">
      <x:c r="A91" s="1" t="s">
        <x:v>149</x:v>
      </x:c>
      <x:c r="B91" s="2" t="s">
        <x:v>18</x:v>
      </x:c>
      <x:c r="C91" s="2">
        <x:f>HYPERLINK("https://team-v23u.testit.software/projects/142/tests/403", "Копия  карточка товара-Расчёт стоимости модели по размерам")</x:f>
      </x:c>
      <x:c r="D91" s="1" t="s">
        <x:v>19</x:v>
      </x:c>
      <x:c r="E91" s="1" t="s">
        <x:v>20</x:v>
      </x:c>
      <x:c r="F91" s="1" t="s">
        <x:v>20</x:v>
      </x:c>
      <x:c r="G91" s="1" t="s">
        <x:v>20</x:v>
      </x:c>
      <x:c r="H91" s="1" t="s">
        <x:v>20</x:v>
      </x:c>
      <x:c r="I91" s="1" t="s">
        <x:v>20</x:v>
      </x:c>
      <x:c r="J91" s="1" t="s">
        <x:v>20</x:v>
      </x:c>
      <x:c r="K91" s="1" t="s">
        <x:v>20</x:v>
      </x:c>
      <x:c r="L91" s="1" t="s">
        <x:v>21</x:v>
      </x:c>
      <x:c r="M91" s="1" t="s">
        <x:v>22</x:v>
      </x:c>
      <x:c r="N91" s="1" t="s">
        <x:v>150</x:v>
      </x:c>
      <x:c r="O91" s="1" t="s">
        <x:v>24</x:v>
      </x:c>
      <x:c r="P91" s="1" t="s">
        <x:v>140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26</x:v>
      </x:c>
      <x:c r="G92" s="1" t="s">
        <x:v>20</x:v>
      </x:c>
      <x:c r="H92" s="1" t="s">
        <x:v>27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118</x:v>
      </x:c>
      <x:c r="G93" s="1" t="s">
        <x:v>20</x:v>
      </x:c>
      <x:c r="H93" s="1" t="s">
        <x:v>119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151</x:v>
      </x:c>
      <x:c r="G94" s="1" t="s">
        <x:v>20</x:v>
      </x:c>
      <x:c r="H94" s="1" t="s">
        <x:v>152</x:v>
      </x:c>
      <x:c r="I94" s="1" t="s">
        <x:v>20</x:v>
      </x:c>
      <x:c r="J94" s="1" t="s">
        <x:v>20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20</x:v>
      </x:c>
      <x:c r="F95" s="1" t="s">
        <x:v>153</x:v>
      </x:c>
      <x:c r="G95" s="1" t="s">
        <x:v>20</x:v>
      </x:c>
      <x:c r="H95" s="1" t="s">
        <x:v>154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155</x:v>
      </x:c>
      <x:c r="B96" s="2" t="s">
        <x:v>18</x:v>
      </x:c>
      <x:c r="C96" s="2">
        <x:f>HYPERLINK("https://team-v23u.testit.software/projects/142/tests/404", "  карточка товара-меню под карточкой")</x:f>
      </x:c>
      <x:c r="D96" s="1" t="s">
        <x:v>19</x:v>
      </x:c>
      <x:c r="E96" s="1" t="s">
        <x:v>20</x:v>
      </x:c>
      <x:c r="F96" s="1" t="s">
        <x:v>20</x:v>
      </x:c>
      <x:c r="G96" s="1" t="s">
        <x:v>20</x:v>
      </x:c>
      <x:c r="H96" s="1" t="s">
        <x:v>20</x:v>
      </x:c>
      <x:c r="I96" s="1" t="s">
        <x:v>20</x:v>
      </x:c>
      <x:c r="J96" s="1" t="s">
        <x:v>20</x:v>
      </x:c>
      <x:c r="K96" s="1" t="s">
        <x:v>20</x:v>
      </x:c>
      <x:c r="L96" s="1" t="s">
        <x:v>21</x:v>
      </x:c>
      <x:c r="M96" s="1" t="s">
        <x:v>22</x:v>
      </x:c>
      <x:c r="N96" s="1" t="s">
        <x:v>156</x:v>
      </x:c>
      <x:c r="O96" s="1" t="s">
        <x:v>24</x:v>
      </x:c>
      <x:c r="P96" s="1" t="s">
        <x:v>51</x:v>
      </x:c>
      <x:c r="Q96" s="1" t="s">
        <x:v>20</x:v>
      </x:c>
    </x:row>
    <x:row r="97" spans="1:17">
      <x:c r="A97" s="1" t="s">
        <x:v>20</x:v>
      </x:c>
      <x:c r="B97" s="2" t="s">
        <x:v>20</x:v>
      </x:c>
      <x:c r="C97" s="2" t="s">
        <x:v>20</x:v>
      </x:c>
      <x:c r="D97" s="1" t="s">
        <x:v>20</x:v>
      </x:c>
      <x:c r="E97" s="1" t="s">
        <x:v>20</x:v>
      </x:c>
      <x:c r="F97" s="1" t="s">
        <x:v>26</x:v>
      </x:c>
      <x:c r="G97" s="1" t="s">
        <x:v>20</x:v>
      </x:c>
      <x:c r="H97" s="1" t="s">
        <x:v>27</x:v>
      </x:c>
      <x:c r="I97" s="1" t="s">
        <x:v>20</x:v>
      </x:c>
      <x:c r="J97" s="1" t="s">
        <x:v>20</x:v>
      </x:c>
      <x:c r="K97" s="1" t="s">
        <x:v>20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20</x:v>
      </x:c>
      <x:c r="F98" s="1" t="s">
        <x:v>118</x:v>
      </x:c>
      <x:c r="G98" s="1" t="s">
        <x:v>20</x:v>
      </x:c>
      <x:c r="H98" s="1" t="s">
        <x:v>119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20</x:v>
      </x:c>
      <x:c r="F99" s="1" t="s">
        <x:v>157</x:v>
      </x:c>
      <x:c r="G99" s="1" t="s">
        <x:v>20</x:v>
      </x:c>
      <x:c r="H99" s="1" t="s">
        <x:v>81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158</x:v>
      </x:c>
      <x:c r="B100" s="2" t="s">
        <x:v>18</x:v>
      </x:c>
      <x:c r="C100" s="2">
        <x:f>HYPERLINK("https://team-v23u.testit.software/projects/142/tests/560", "изменить ссылку в адресной строке")</x:f>
      </x:c>
      <x:c r="D100" s="1" t="s">
        <x:v>19</x:v>
      </x:c>
      <x:c r="E100" s="1" t="s">
        <x:v>20</x:v>
      </x:c>
      <x:c r="F100" s="1" t="s">
        <x:v>20</x:v>
      </x:c>
      <x:c r="G100" s="1" t="s">
        <x:v>20</x:v>
      </x:c>
      <x:c r="H100" s="1" t="s">
        <x:v>20</x:v>
      </x:c>
      <x:c r="I100" s="1" t="s">
        <x:v>20</x:v>
      </x:c>
      <x:c r="J100" s="1" t="s">
        <x:v>20</x:v>
      </x:c>
      <x:c r="K100" s="1" t="s">
        <x:v>20</x:v>
      </x:c>
      <x:c r="L100" s="1" t="s">
        <x:v>159</x:v>
      </x:c>
      <x:c r="M100" s="1" t="s">
        <x:v>22</x:v>
      </x:c>
      <x:c r="N100" s="1" t="s">
        <x:v>160</x:v>
      </x:c>
      <x:c r="O100" s="1" t="s">
        <x:v>24</x:v>
      </x:c>
      <x:c r="P100" s="1" t="s">
        <x:v>35</x:v>
      </x:c>
      <x:c r="Q100" s="1" t="s">
        <x:v>161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26</x:v>
      </x:c>
      <x:c r="G101" s="1" t="s">
        <x:v>20</x:v>
      </x:c>
      <x:c r="H101" s="1" t="s">
        <x:v>27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20</x:v>
      </x:c>
      <x:c r="B102" s="2" t="s">
        <x:v>20</x:v>
      </x:c>
      <x:c r="C102" s="2" t="s">
        <x:v>20</x:v>
      </x:c>
      <x:c r="D102" s="1" t="s">
        <x:v>20</x:v>
      </x:c>
      <x:c r="E102" s="1" t="s">
        <x:v>20</x:v>
      </x:c>
      <x:c r="F102" s="1" t="s">
        <x:v>162</x:v>
      </x:c>
      <x:c r="G102" s="1" t="s">
        <x:v>20</x:v>
      </x:c>
      <x:c r="H102" s="1" t="s">
        <x:v>163</x:v>
      </x:c>
      <x:c r="I102" s="1" t="s">
        <x:v>20</x:v>
      </x:c>
      <x:c r="J102" s="1" t="s">
        <x:v>20</x:v>
      </x:c>
      <x:c r="K102" s="1" t="s">
        <x:v>20</x:v>
      </x:c>
      <x:c r="L102" s="1" t="s">
        <x:v>20</x:v>
      </x:c>
      <x:c r="M102" s="1" t="s">
        <x:v>20</x:v>
      </x:c>
      <x:c r="N102" s="1" t="s">
        <x:v>20</x:v>
      </x:c>
      <x:c r="O102" s="1" t="s">
        <x:v>20</x:v>
      </x:c>
      <x:c r="P102" s="1" t="s">
        <x:v>20</x:v>
      </x:c>
      <x:c r="Q102" s="1" t="s">
        <x:v>20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20</x:v>
      </x:c>
      <x:c r="F103" s="1" t="s">
        <x:v>164</x:v>
      </x:c>
      <x:c r="G103" s="1" t="s">
        <x:v>20</x:v>
      </x:c>
      <x:c r="H103" s="1" t="s">
        <x:v>165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166</x:v>
      </x:c>
      <x:c r="B104" s="2" t="s">
        <x:v>18</x:v>
      </x:c>
      <x:c r="C104" s="2">
        <x:f>HYPERLINK("https://team-v23u.testit.software/projects/142/tests/561", " видос- в карточку товара")</x:f>
      </x:c>
      <x:c r="D104" s="1" t="s">
        <x:v>19</x:v>
      </x:c>
      <x:c r="E104" s="1" t="s">
        <x:v>20</x:v>
      </x:c>
      <x:c r="F104" s="1" t="s">
        <x:v>20</x:v>
      </x:c>
      <x:c r="G104" s="1" t="s">
        <x:v>20</x:v>
      </x:c>
      <x:c r="H104" s="1" t="s">
        <x:v>20</x:v>
      </x:c>
      <x:c r="I104" s="1" t="s">
        <x:v>20</x:v>
      </x:c>
      <x:c r="J104" s="1" t="s">
        <x:v>20</x:v>
      </x:c>
      <x:c r="K104" s="1" t="s">
        <x:v>20</x:v>
      </x:c>
      <x:c r="L104" s="1" t="s">
        <x:v>159</x:v>
      </x:c>
      <x:c r="M104" s="1" t="s">
        <x:v>22</x:v>
      </x:c>
      <x:c r="N104" s="1" t="s">
        <x:v>167</x:v>
      </x:c>
      <x:c r="O104" s="1" t="s">
        <x:v>24</x:v>
      </x:c>
      <x:c r="P104" s="1" t="s">
        <x:v>35</x:v>
      </x:c>
      <x:c r="Q104" s="1" t="s">
        <x:v>161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26</x:v>
      </x:c>
      <x:c r="G105" s="1" t="s">
        <x:v>20</x:v>
      </x:c>
      <x:c r="H105" s="1" t="s">
        <x:v>27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20</x:v>
      </x:c>
      <x:c r="B106" s="2" t="s">
        <x:v>20</x:v>
      </x:c>
      <x:c r="C106" s="2" t="s">
        <x:v>20</x:v>
      </x:c>
      <x:c r="D106" s="1" t="s">
        <x:v>20</x:v>
      </x:c>
      <x:c r="E106" s="1" t="s">
        <x:v>20</x:v>
      </x:c>
      <x:c r="F106" s="1" t="s">
        <x:v>162</x:v>
      </x:c>
      <x:c r="G106" s="1" t="s">
        <x:v>20</x:v>
      </x:c>
      <x:c r="H106" s="1" t="s">
        <x:v>163</x:v>
      </x:c>
      <x:c r="I106" s="1" t="s">
        <x:v>20</x:v>
      </x:c>
      <x:c r="J106" s="1" t="s">
        <x:v>20</x:v>
      </x:c>
      <x:c r="K106" s="1" t="s">
        <x:v>20</x:v>
      </x:c>
      <x:c r="L106" s="1" t="s">
        <x:v>20</x:v>
      </x:c>
      <x:c r="M106" s="1" t="s">
        <x:v>20</x:v>
      </x:c>
      <x:c r="N106" s="1" t="s">
        <x:v>20</x:v>
      </x:c>
      <x:c r="O106" s="1" t="s">
        <x:v>20</x:v>
      </x:c>
      <x:c r="P106" s="1" t="s">
        <x:v>20</x:v>
      </x:c>
      <x:c r="Q106" s="1" t="s">
        <x:v>20</x:v>
      </x:c>
    </x:row>
    <x:row r="107" spans="1:17">
      <x:c r="A107" s="1" t="s">
        <x:v>20</x:v>
      </x:c>
      <x:c r="B107" s="2" t="s">
        <x:v>20</x:v>
      </x:c>
      <x:c r="C107" s="2" t="s">
        <x:v>20</x:v>
      </x:c>
      <x:c r="D107" s="1" t="s">
        <x:v>20</x:v>
      </x:c>
      <x:c r="E107" s="1" t="s">
        <x:v>20</x:v>
      </x:c>
      <x:c r="F107" s="1" t="s">
        <x:v>151</x:v>
      </x:c>
      <x:c r="G107" s="1" t="s">
        <x:v>20</x:v>
      </x:c>
      <x:c r="H107" s="1" t="s">
        <x:v>168</x:v>
      </x:c>
      <x:c r="I107" s="1" t="s">
        <x:v>20</x:v>
      </x:c>
      <x:c r="J107" s="1" t="s">
        <x:v>20</x:v>
      </x:c>
      <x:c r="K107" s="1" t="s">
        <x:v>20</x:v>
      </x:c>
      <x:c r="L107" s="1" t="s">
        <x:v>20</x:v>
      </x:c>
      <x:c r="M107" s="1" t="s">
        <x:v>20</x:v>
      </x:c>
      <x:c r="N107" s="1" t="s">
        <x:v>20</x:v>
      </x:c>
      <x:c r="O107" s="1" t="s">
        <x:v>20</x:v>
      </x:c>
      <x:c r="P107" s="1" t="s">
        <x:v>20</x:v>
      </x:c>
      <x:c r="Q107" s="1" t="s">
        <x:v>20</x:v>
      </x:c>
    </x:row>
    <x:row r="108" spans="1:17">
      <x:c r="A108" s="1" t="s">
        <x:v>20</x:v>
      </x:c>
      <x:c r="B108" s="2" t="s">
        <x:v>20</x:v>
      </x:c>
      <x:c r="C108" s="2" t="s">
        <x:v>20</x:v>
      </x:c>
      <x:c r="D108" s="1" t="s">
        <x:v>20</x:v>
      </x:c>
      <x:c r="E108" s="1" t="s">
        <x:v>20</x:v>
      </x:c>
      <x:c r="F108" s="1" t="s">
        <x:v>169</x:v>
      </x:c>
      <x:c r="G108" s="1" t="s">
        <x:v>20</x:v>
      </x:c>
      <x:c r="H108" s="1" t="s">
        <x:v>170</x:v>
      </x:c>
      <x:c r="I108" s="1" t="s">
        <x:v>20</x:v>
      </x:c>
      <x:c r="J108" s="1" t="s">
        <x:v>20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