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129533b2547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d2a240e11645eca2e5f58744761494.psmdcp" Id="R9ef0672360c44a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9" i="1"/>
  <x:c r="C13" i="1"/>
  <x:c r="C18" i="1"/>
  <x:c r="C24" i="1"/>
  <x:c r="C29" i="1"/>
  <x:c r="C34" i="1"/>
  <x:c r="C38" i="1"/>
  <x:c r="C59" i="1"/>
  <x:c r="C80" i="1"/>
  <x:c r="C85" i="1"/>
  <x:c r="C90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<x:sst xmlns:x="http://schemas.openxmlformats.org/spreadsheetml/2006/main">
  <x:si>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</x:si>
  <x:si>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</x:si>
  <x:si>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</x:si>
  <x:si>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</x:si>
  <x:si>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</x:si>
  <x:si>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</x:si>
  <x:si>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</x:si>
  <x:si>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</x:si>
  <x:si>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</x:si>
  <x:si>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</x:si>
  <x:si>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</x:si>
  <x:si>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</x:si>
  <x:si>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</x:si>
  <x:si>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</x:si>
  <x:si>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</x:si>
  <x:si>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</x:si>
  <x:si>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</x:si>
  <x:si>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259</x:t>
  </x:si>
  <x:si>
    <x:t>стажировка -&gt; siam-consult.ru</x:t>
  </x:si>
  <x:si>
    <x:t>Нет</x:t>
  </x:si>
  <x:si>
    <x:t/>
  </x:si>
  <x:si>
    <x:t>Средний</x:t>
  </x:si>
  <x:si>
    <x:t>Не готов</x:t>
  </x:si>
  <x:si>
    <x:t>9/30/2025 14:21:07</x:t>
  </x:si>
  <x:si>
    <x:t>тимур гатауллин</x:t>
  </x:si>
  <x:si>
    <x:t>0h 0m 0s</x:t>
  </x:si>
  <x:si>
    <x:t>открыть сайт siam-consult.ru</x:t>
  </x:si>
  <x:si>
    <x:t>сайт открыт</x:t>
  </x:si>
  <x:si>
    <x:t>260</x:t>
  </x:si>
  <x:si>
    <x:t>курсор меняет форму: курсор меняет форму;</x:t>
  </x:si>
  <x:si>
    <x:t>9/30/2025 14:22:20</x:t>
  </x:si>
  <x:si>
    <x:t>0h 1m 0s</x:t>
  </x:si>
  <x:si>
    <x:t>юзабилити</x:t>
  </x:si>
  <x:si>
    <x:t>навести курсор на логотип</x:t>
  </x:si>
  <x:si>
    <x:t>%курсор меняет форму</x:t>
  </x:si>
  <x:si>
    <x:t>кликнуть на логотип</x:t>
  </x:si>
  <x:si>
    <x:t>открывается главная страница сайта</x:t>
  </x:si>
  <x:si>
    <x:t>261</x:t>
  </x:si>
  <x:si>
    <x:t>9/30/2025 14:25:29</x:t>
  </x:si>
  <x:si>
    <x:t>навести курсор на номер телефона в хедере</x:t>
  </x:si>
  <x:si>
    <x:t>курсор меняет форму, номер не кликабелен</x:t>
  </x:si>
  <x:si>
    <x:t>262</x:t>
  </x:si>
  <x:si>
    <x:t>Готов</x:t>
  </x:si>
  <x:si>
    <x:t>9/30/2025 14:29:08</x:t>
  </x:si>
  <x:si>
    <x:t>навести курсор на логотип ВК в хедере</x:t>
  </x:si>
  <x:si>
    <x:t>курсор меняет форму, у логотипа есть ховер-эффект</x:t>
  </x:si>
  <x:si>
    <x:t>кликнуть на логотип ВК в хедере</x:t>
  </x:si>
  <x:si>
    <x:t>в новой вкладке открывается ВК страница компании тестируемого сайта</x:t>
  </x:si>
  <x:si>
    <x:t>264</x:t>
  </x:si>
  <x:si>
    <x:t>9/30/2025 14:32:59</x:t>
  </x:si>
  <x:si>
    <x:t>vpn включен</x:t>
  </x:si>
  <x:si>
    <x:t>навести курсор на логотип ютуб в хедере</x:t>
  </x:si>
  <x:si>
    <x:t>кликнуть на логотип ютуб в хедере</x:t>
  </x:si>
  <x:si>
    <x:t>в новой вкладке открывается  страница ютуб канала компании тестируемого сайта</x:t>
  </x:si>
  <x:si>
    <x:t>265</x:t>
  </x:si>
  <x:si>
    <x:t>9/30/2025 14:35:15</x:t>
  </x:si>
  <x:si>
    <x:t>навести курсор на логотип лупа в хедере</x:t>
  </x:si>
  <x:si>
    <x:t>курсор меняет форму</x:t>
  </x:si>
  <x:si>
    <x:t>кликнуть на логотип лупа в хедере</x:t>
  </x:si>
  <x:si>
    <x:t>открывается страница со строкой поискового запроса</x:t>
  </x:si>
  <x:si>
    <x:t>267</x:t>
  </x:si>
  <x:si>
    <x:t>9/30/2025 14:38:44</x:t>
  </x:si>
  <x:si>
    <x:t>навести курсор на поле “поиск по сайту”</x:t>
  </x:si>
  <x:si>
    <x:t>кликнуть на  поле “поиск по сайту”</x:t>
  </x:si>
  <x:si>
    <x:t>появляется возможность ввести поисковый запрос в поле</x:t>
  </x:si>
  <x:si>
    <x:t>268</x:t>
  </x:si>
  <x:si>
    <x:t>9/30/2025 14:40:01</x:t>
  </x:si>
  <x:si>
    <x:t>навести курсор на логотип британского флага</x:t>
  </x:si>
  <x:si>
    <x:t>кликнуть на  логотип британского флага</x:t>
  </x:si>
  <x:si>
    <x:t>язык сайта меняется</x:t>
  </x:si>
  <x:si>
    <x:t>269</x:t>
  </x:si>
  <x:si>
    <x:t>9/30/2025 14:51:10</x:t>
  </x:si>
  <x:si>
    <x:t>0h 4m 0s</x:t>
  </x:si>
  <x:si>
    <x:t>навести курсор на пункт меню “о компании”</x:t>
  </x:si>
  <x:si>
    <x:t>курсор меняет форму, есть ховер эффект, выпадает подменю</x:t>
  </x:si>
  <x:si>
    <x:t>кликнуть на пункт меню “о компании”</x:t>
  </x:si>
  <x:si>
    <x:t>открывается страница с инфой о компании</x:t>
  </x:si>
  <x:si>
    <x:t>навести курсор на подпункт меню “клиенты”</x:t>
  </x:si>
  <x:si>
    <x:t>курсор меняет форму, есть ховер эффект</x:t>
  </x:si>
  <x:si>
    <x:t>кликнуть на  подпункт меню “клиенты”</x:t>
  </x:si>
  <x:si>
    <x:t>открывается страница с инфой о клиентах компании</x:t>
  </x:si>
  <x:si>
    <x:t>навести курсор на пункт меню “о компании”, навести курсор на подпункт меню “партнеры”</x:t>
  </x:si>
  <x:si>
    <x:t>кликнуть на  подпункт меню “партнеры”</x:t>
  </x:si>
  <x:si>
    <x:t>открывается страница о партнерах компании</x:t>
  </x:si>
  <x:si>
    <x:t>навести курсор на пункт меню “о компании”, навести курсор на подпункт меню “выступления”</x:t>
  </x:si>
  <x:si>
    <x:t>кликнуть на  подпункт меню “выступления”</x:t>
  </x:si>
  <x:si>
    <x:t>открывается страница о выступлениях компании</x:t>
  </x:si>
  <x:si>
    <x:t>навести курсор на пункт меню “о компании”, навести курсор на подпункт меню “карьера”</x:t>
  </x:si>
  <x:si>
    <x:t>кликнуть на  подпункт меню “карьера”</x:t>
  </x:si>
  <x:si>
    <x:t>открывается страница о работе в компании</x:t>
  </x:si>
  <x:si>
    <x:t>навести курсор на пункт меню “о компании”, навести курсор на подпункт меню “лицензии”</x:t>
  </x:si>
  <x:si>
    <x:t>кликнуть на  подпункт меню “лицензии”</x:t>
  </x:si>
  <x:si>
    <x:t>открывается страница с дипломами и грамотами</x:t>
  </x:si>
  <x:si>
    <x:t>навести курсор на пункт меню “о компании”, навести курсор на подпункт меню “статьи”</x:t>
  </x:si>
  <x:si>
    <x:t>кликнуть на  подпункт меню “статьи”</x:t>
  </x:si>
  <x:si>
    <x:t>открывается страница со статьями</x:t>
  </x:si>
  <x:si>
    <x:t>навести курсор на пункт меню “о компании”, навести курсор на подпункт меню “отзывы”</x:t>
  </x:si>
  <x:si>
    <x:t>кликнуть на  подпункт меню “отзывы”</x:t>
  </x:si>
  <x:si>
    <x:t>открывается страница с отзывами</x:t>
  </x:si>
  <x:si>
    <x:t>навести курсор на пункт меню “о компании”, навести курсор на подпункт меню “Специальная оценка условий труда”</x:t>
  </x:si>
  <x:si>
    <x:t>кликнуть на  подпункт меню “Специальная оценка условий труда”</x:t>
  </x:si>
  <x:si>
    <x:t>открывается страница со оценкой условий труда</x:t>
  </x:si>
  <x:si>
    <x:t>270</x:t>
  </x:si>
  <x:si>
    <x:t>9/30/2025 15:12:47</x:t>
  </x:si>
  <x:si>
    <x:t>0h 10m 0s</x:t>
  </x:si>
  <x:si>
    <x:t>навести курсор на пункт меню “решения и услуги”</x:t>
  </x:si>
  <x:si>
    <x:t>кликнуть на пункт меню “решения и услуги”</x:t>
  </x:si>
  <x:si>
    <x:t>открывается страница с решениями и услугами</x:t>
  </x:si>
  <x:si>
    <x:t>навести курсор на пункт меню “решения и услуги”,
выбрать подпункт меню “Сервис автоматизации Ж/Д логистики”,
выбрать подпункт меню “Автоматизированная система управления вагонным парком (АСУ ВП)”</x:t>
  </x:si>
  <x:si>
    <x:t>кликнуть на подпункт меню “Автоматизированная система управления вагонным парком (АСУ ВП)”</x:t>
  </x:si>
  <x:si>
    <x:t>открывается соответствующая страница</x:t>
  </x:si>
  <x:si>
    <x:t>навести курсор на пункт меню “решения и услуги”,
выбрать подпункт меню “Сервис автоматизации Ж/Д логистики”,
выбрать подпункт меню “«Оптимайзер». Система оптимального назначения вагонов”</x:t>
  </x:si>
  <x:si>
    <x:t>кликнуть на подпункт меню “«Оптимайзер». Система оптимального назначения вагонов”</x:t>
  </x:si>
  <x:si>
    <x:t>навести курсор на пункт меню “решения и услуги”,
выбрать подпункт меню “ИТ - сервисы управления”,
выбрать подпункт меню “Внутренний корпоративный портал и система хранения документов”</x:t>
  </x:si>
  <x:si>
    <x:t>курсор меняет форму, есть ховер эффект, открывается соответствующая страница</x:t>
  </x:si>
  <x:si>
    <x:t>навести курсор на пункт меню “решения и услуги”,
выбрать подпункт меню “ИТ - сервисы управления”,
выбрать подпункт меню “Система электронного документооборота и управления задачами”</x:t>
  </x:si>
  <x:si>
    <x:t>навести курсор на пункт меню “решения и услуги”,
выбрать подпункт меню “ИТ - сервисы управления”,
выбрать подпункт меню “Система анализа деятельности компании (бизнес-аналитика)”</x:t>
  </x:si>
  <x:si>
    <x:t>навести курсор на пункт меню “решения и услуги”,
выбрать подпункт меню “Сопровождение и развитие продуктов 1С”,
выбрать подпункт меню “Комплекс услуг по внедрению и сопровождению программ 1С:Предприятие”</x:t>
  </x:si>
  <x:si>
    <x:t>навести курсор на пункт меню “решения и услуги”,
выбрать подпункт меню “Сопровождение и развитие продуктов 1С”,
выбрать подпункт меню “Автоматизированная система управления Казначейством и Договорами (АСУ КиД)”</x:t>
  </x:si>
  <x:si>
    <x:t>навести курсор на пункт меню “решения и услуги”,
выбрать подпункт меню “Сопровождение и развитие продуктов 1С”,
выбрать подпункт меню “Переход с 1С:Зарплата и управление персоналом 2.5 на редакцию 3.1”</x:t>
  </x:si>
  <x:si>
    <x:t>навести курсор на пункт меню “решения и услуги”,
выбрать подпункт меню “Сопровождение и развитие продуктов 1С”,
выбрать подпункт меню “Информационно-технологическое сопровождение 1C (1С:ИТС)”</x:t>
  </x:si>
  <x:si>
    <x:t>навести курсор на пункт меню “решения и услуги”,
выбрать подпункт меню “Финансовое планирование и бюджетирование”,
выбрать подпункт меню “Автоматизированная система бюджетного управления”</x:t>
  </x:si>
  <x:si>
    <x:t>навести курсор на пункт меню “решения и услуги”,
выбрать подпункт меню “Инфраструктурные ИТ-сервисы”,
выбрать подпункт меню “Общекорпоративные ИТ-сервисы”</x:t>
  </x:si>
  <x:si>
    <x:t>навести курсор на пункт меню “решения и услуги”,
выбрать подпункт меню “Инфраструктурные ИТ-сервисы”,
выбрать подпункт меню “ИТ-сервисы информационной безопасности”</x:t>
  </x:si>
  <x:si>
    <x:t>навести курсор на пункт меню “решения и услуги”,
выбрать подпункт меню “Инфраструктурные ИТ-сервисы”,
выбрать подпункт меню “Сервис управления мобильными устройствами и их доступом к информационным ресурсам”</x:t>
  </x:si>
  <x:si>
    <x:t>навести курсор на пункт меню “решения и услуги”,
выбрать подпункт меню “Инфраструктурные ИТ-сервисы”,
выбрать подпункт меню “Управление лицензиями”</x:t>
  </x:si>
  <x:si>
    <x:t>271</x:t>
  </x:si>
  <x:si>
    <x:t>9/30/2025 15:14:46</x:t>
  </x:si>
  <x:si>
    <x:t>навести курсор на пункт меню “проекты”</x:t>
  </x:si>
  <x:si>
    <x:t>кликнуть на пункт меню “проекты”</x:t>
  </x:si>
  <x:si>
    <x:t>открывается страница с проектами</x:t>
  </x:si>
  <x:si>
    <x:t>272</x:t>
  </x:si>
  <x:si>
    <x:t>9/30/2025 15:15:12</x:t>
  </x:si>
  <x:si>
    <x:t>навести курсор на пункт меню “новости”</x:t>
  </x:si>
  <x:si>
    <x:t>кликнуть на пункт меню “новости”</x:t>
  </x:si>
  <x:si>
    <x:t>открывается страница с новостями</x:t>
  </x:si>
  <x:si>
    <x:t>273</x:t>
  </x:si>
  <x:si>
    <x:t>9/30/2025 15:16:00</x:t>
  </x:si>
  <x:si>
    <x:t>навести курсор на пункт меню “контакты”</x:t>
  </x:si>
  <x:si>
    <x:t>кликнуть на пункт меню “контакты”</x:t>
  </x:si>
  <x:si>
    <x:t>открывается страница с контактами и картой места расположения компании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</x:si>
</x:sst>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94" totalsRowShown="0">
  <x:autoFilter ref="A1:Q94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4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8.710625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43.996339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1.139196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HYPERLINK("https://team-v23u.testit.software/projects/142/tests/259", "открытие")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HYPERLINK("https://team-v23u.testit.software/projects/142/tests/260", "лого")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29</x:v>
      </x:c>
      <x:c r="L4" s="1" t="s">
        <x:v>21</x:v>
      </x:c>
      <x:c r="M4" s="1" t="s">
        <x:v>22</x:v>
      </x:c>
      <x:c r="N4" s="1" t="s">
        <x:v>30</x:v>
      </x:c>
      <x:c r="O4" s="1" t="s">
        <x:v>24</x:v>
      </x:c>
      <x:c r="P4" s="1" t="s">
        <x:v>31</x:v>
      </x:c>
      <x:c r="Q4" s="1" t="s">
        <x:v>32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26</x:v>
      </x:c>
      <x:c r="G6" s="1" t="s">
        <x:v>20</x:v>
      </x:c>
      <x:c r="H6" s="1" t="s">
        <x:v>27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33</x:v>
      </x:c>
      <x:c r="G7" s="1" t="s">
        <x:v>20</x:v>
      </x:c>
      <x:c r="H7" s="1" t="s">
        <x:v>34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35</x:v>
      </x:c>
      <x:c r="G8" s="1" t="s">
        <x:v>20</x:v>
      </x:c>
      <x:c r="H8" s="1" t="s">
        <x:v>36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37</x:v>
      </x:c>
      <x:c r="B9" s="2" t="s">
        <x:v>18</x:v>
      </x:c>
      <x:c r="C9" s="2">
        <x:f>HYPERLINK("https://team-v23u.testit.software/projects/142/tests/261", "телефон")</x:f>
      </x:c>
      <x:c r="D9" s="1" t="s">
        <x:v>19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21</x:v>
      </x:c>
      <x:c r="M9" s="1" t="s">
        <x:v>22</x:v>
      </x:c>
      <x:c r="N9" s="1" t="s">
        <x:v>38</x:v>
      </x:c>
      <x:c r="O9" s="1" t="s">
        <x:v>24</x:v>
      </x:c>
      <x:c r="P9" s="1" t="s">
        <x:v>31</x:v>
      </x:c>
      <x:c r="Q9" s="1" t="s">
        <x:v>32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26</x:v>
      </x:c>
      <x:c r="G11" s="1" t="s">
        <x:v>20</x:v>
      </x:c>
      <x:c r="H11" s="1" t="s">
        <x:v>27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39</x:v>
      </x:c>
      <x:c r="G12" s="1" t="s">
        <x:v>20</x:v>
      </x:c>
      <x:c r="H12" s="1" t="s">
        <x:v>40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41</x:v>
      </x:c>
      <x:c r="B13" s="2" t="s">
        <x:v>18</x:v>
      </x:c>
      <x:c r="C13" s="2">
        <x:f>HYPERLINK("https://team-v23u.testit.software/projects/142/tests/262", "вк")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42</x:v>
      </x:c>
      <x:c r="N13" s="1" t="s">
        <x:v>43</x:v>
      </x:c>
      <x:c r="O13" s="1" t="s">
        <x:v>24</x:v>
      </x:c>
      <x:c r="P13" s="1" t="s">
        <x:v>31</x:v>
      </x:c>
      <x:c r="Q13" s="1" t="s">
        <x:v>32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26</x:v>
      </x:c>
      <x:c r="G15" s="1" t="s">
        <x:v>20</x:v>
      </x:c>
      <x:c r="H15" s="1" t="s">
        <x:v>27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44</x:v>
      </x:c>
      <x:c r="G16" s="1" t="s">
        <x:v>20</x:v>
      </x:c>
      <x:c r="H16" s="1" t="s">
        <x:v>45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46</x:v>
      </x:c>
      <x:c r="G17" s="1" t="s">
        <x:v>20</x:v>
      </x:c>
      <x:c r="H17" s="1" t="s">
        <x:v>47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48</x:v>
      </x:c>
      <x:c r="B18" s="2" t="s">
        <x:v>18</x:v>
      </x:c>
      <x:c r="C18" s="2">
        <x:f>HYPERLINK("https://team-v23u.testit.software/projects/142/tests/264", "ютуб")</x:f>
      </x:c>
      <x:c r="D18" s="1" t="s">
        <x:v>19</x:v>
      </x:c>
      <x:c r="E18" s="1" t="s">
        <x:v>20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21</x:v>
      </x:c>
      <x:c r="M18" s="1" t="s">
        <x:v>42</x:v>
      </x:c>
      <x:c r="N18" s="1" t="s">
        <x:v>49</x:v>
      </x:c>
      <x:c r="O18" s="1" t="s">
        <x:v>24</x:v>
      </x:c>
      <x:c r="P18" s="1" t="s">
        <x:v>31</x:v>
      </x:c>
      <x:c r="Q18" s="1" t="s">
        <x:v>32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50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26</x:v>
      </x:c>
      <x:c r="G21" s="1" t="s">
        <x:v>20</x:v>
      </x:c>
      <x:c r="H21" s="1" t="s">
        <x:v>27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51</x:v>
      </x:c>
      <x:c r="G22" s="1" t="s">
        <x:v>20</x:v>
      </x:c>
      <x:c r="H22" s="1" t="s">
        <x:v>45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52</x:v>
      </x:c>
      <x:c r="G23" s="1" t="s">
        <x:v>20</x:v>
      </x:c>
      <x:c r="H23" s="1" t="s">
        <x:v>53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54</x:v>
      </x:c>
      <x:c r="B24" s="2" t="s">
        <x:v>18</x:v>
      </x:c>
      <x:c r="C24" s="2">
        <x:f>HYPERLINK("https://team-v23u.testit.software/projects/142/tests/265", "лупа")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42</x:v>
      </x:c>
      <x:c r="N24" s="1" t="s">
        <x:v>55</x:v>
      </x:c>
      <x:c r="O24" s="1" t="s">
        <x:v>24</x:v>
      </x:c>
      <x:c r="P24" s="1" t="s">
        <x:v>31</x:v>
      </x:c>
      <x:c r="Q24" s="1" t="s">
        <x:v>32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26</x:v>
      </x:c>
      <x:c r="G26" s="1" t="s">
        <x:v>20</x:v>
      </x:c>
      <x:c r="H26" s="1" t="s">
        <x:v>27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56</x:v>
      </x:c>
      <x:c r="G27" s="1" t="s">
        <x:v>20</x:v>
      </x:c>
      <x:c r="H27" s="1" t="s">
        <x:v>57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58</x:v>
      </x:c>
      <x:c r="G28" s="1" t="s">
        <x:v>20</x:v>
      </x:c>
      <x:c r="H28" s="1" t="s">
        <x:v>59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60</x:v>
      </x:c>
      <x:c r="B29" s="2" t="s">
        <x:v>18</x:v>
      </x:c>
      <x:c r="C29" s="2">
        <x:f>HYPERLINK("https://team-v23u.testit.software/projects/142/tests/267", "поиск по сайту")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42</x:v>
      </x:c>
      <x:c r="N29" s="1" t="s">
        <x:v>61</x:v>
      </x:c>
      <x:c r="O29" s="1" t="s">
        <x:v>24</x:v>
      </x:c>
      <x:c r="P29" s="1" t="s">
        <x:v>31</x:v>
      </x:c>
      <x:c r="Q29" s="1" t="s">
        <x:v>32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26</x:v>
      </x:c>
      <x:c r="G31" s="1" t="s">
        <x:v>20</x:v>
      </x:c>
      <x:c r="H31" s="1" t="s">
        <x:v>27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62</x:v>
      </x:c>
      <x:c r="G32" s="1" t="s">
        <x:v>20</x:v>
      </x:c>
      <x:c r="H32" s="1" t="s">
        <x:v>57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63</x:v>
      </x:c>
      <x:c r="G33" s="1" t="s">
        <x:v>20</x:v>
      </x:c>
      <x:c r="H33" s="1" t="s">
        <x:v>64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65</x:v>
      </x:c>
      <x:c r="B34" s="2" t="s">
        <x:v>18</x:v>
      </x:c>
      <x:c r="C34" s="2">
        <x:f>HYPERLINK("https://team-v23u.testit.software/projects/142/tests/268", "смена языка")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66</x:v>
      </x:c>
      <x:c r="O34" s="1" t="s">
        <x:v>24</x:v>
      </x:c>
      <x:c r="P34" s="1" t="s">
        <x:v>31</x:v>
      </x:c>
      <x:c r="Q34" s="1" t="s">
        <x:v>32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26</x:v>
      </x:c>
      <x:c r="G35" s="1" t="s">
        <x:v>20</x:v>
      </x:c>
      <x:c r="H35" s="1" t="s">
        <x:v>27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67</x:v>
      </x:c>
      <x:c r="G36" s="1" t="s">
        <x:v>20</x:v>
      </x:c>
      <x:c r="H36" s="1" t="s">
        <x:v>57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68</x:v>
      </x:c>
      <x:c r="G37" s="1" t="s">
        <x:v>20</x:v>
      </x:c>
      <x:c r="H37" s="1" t="s">
        <x:v>69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70</x:v>
      </x:c>
      <x:c r="B38" s="2" t="s">
        <x:v>18</x:v>
      </x:c>
      <x:c r="C38" s="2">
        <x:f>HYPERLINK("https://team-v23u.testit.software/projects/142/tests/269", "меню о компании")</x:f>
      </x:c>
      <x:c r="D38" s="1" t="s">
        <x:v>19</x:v>
      </x:c>
      <x:c r="E38" s="1" t="s">
        <x:v>20</x:v>
      </x:c>
      <x:c r="F38" s="1" t="s">
        <x:v>20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21</x:v>
      </x:c>
      <x:c r="M38" s="1" t="s">
        <x:v>42</x:v>
      </x:c>
      <x:c r="N38" s="1" t="s">
        <x:v>71</x:v>
      </x:c>
      <x:c r="O38" s="1" t="s">
        <x:v>24</x:v>
      </x:c>
      <x:c r="P38" s="1" t="s">
        <x:v>72</x:v>
      </x:c>
      <x:c r="Q38" s="1" t="s">
        <x:v>32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20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26</x:v>
      </x:c>
      <x:c r="G40" s="1" t="s">
        <x:v>20</x:v>
      </x:c>
      <x:c r="H40" s="1" t="s">
        <x:v>27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73</x:v>
      </x:c>
      <x:c r="G41" s="1" t="s">
        <x:v>20</x:v>
      </x:c>
      <x:c r="H41" s="1" t="s">
        <x:v>74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75</x:v>
      </x:c>
      <x:c r="G42" s="1" t="s">
        <x:v>20</x:v>
      </x:c>
      <x:c r="H42" s="1" t="s">
        <x:v>76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77</x:v>
      </x:c>
      <x:c r="G43" s="1" t="s">
        <x:v>20</x:v>
      </x:c>
      <x:c r="H43" s="1" t="s">
        <x:v>78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79</x:v>
      </x:c>
      <x:c r="G44" s="1" t="s">
        <x:v>20</x:v>
      </x:c>
      <x:c r="H44" s="1" t="s">
        <x:v>80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81</x:v>
      </x:c>
      <x:c r="G45" s="1" t="s">
        <x:v>20</x:v>
      </x:c>
      <x:c r="H45" s="1" t="s">
        <x:v>78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82</x:v>
      </x:c>
      <x:c r="G46" s="1" t="s">
        <x:v>20</x:v>
      </x:c>
      <x:c r="H46" s="1" t="s">
        <x:v>83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84</x:v>
      </x:c>
      <x:c r="G47" s="1" t="s">
        <x:v>20</x:v>
      </x:c>
      <x:c r="H47" s="1" t="s">
        <x:v>78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85</x:v>
      </x:c>
      <x:c r="G48" s="1" t="s">
        <x:v>20</x:v>
      </x:c>
      <x:c r="H48" s="1" t="s">
        <x:v>86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87</x:v>
      </x:c>
      <x:c r="G49" s="1" t="s">
        <x:v>20</x:v>
      </x:c>
      <x:c r="H49" s="1" t="s">
        <x:v>78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88</x:v>
      </x:c>
      <x:c r="G50" s="1" t="s">
        <x:v>20</x:v>
      </x:c>
      <x:c r="H50" s="1" t="s">
        <x:v>89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90</x:v>
      </x:c>
      <x:c r="G51" s="1" t="s">
        <x:v>20</x:v>
      </x:c>
      <x:c r="H51" s="1" t="s">
        <x:v>78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91</x:v>
      </x:c>
      <x:c r="G52" s="1" t="s">
        <x:v>20</x:v>
      </x:c>
      <x:c r="H52" s="1" t="s">
        <x:v>92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93</x:v>
      </x:c>
      <x:c r="G53" s="1" t="s">
        <x:v>20</x:v>
      </x:c>
      <x:c r="H53" s="1" t="s">
        <x:v>78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94</x:v>
      </x:c>
      <x:c r="G54" s="1" t="s">
        <x:v>20</x:v>
      </x:c>
      <x:c r="H54" s="1" t="s">
        <x:v>95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96</x:v>
      </x:c>
      <x:c r="G55" s="1" t="s">
        <x:v>20</x:v>
      </x:c>
      <x:c r="H55" s="1" t="s">
        <x:v>78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97</x:v>
      </x:c>
      <x:c r="G56" s="1" t="s">
        <x:v>20</x:v>
      </x:c>
      <x:c r="H56" s="1" t="s">
        <x:v>98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99</x:v>
      </x:c>
      <x:c r="G57" s="1" t="s">
        <x:v>20</x:v>
      </x:c>
      <x:c r="H57" s="1" t="s">
        <x:v>78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100</x:v>
      </x:c>
      <x:c r="G58" s="1" t="s">
        <x:v>20</x:v>
      </x:c>
      <x:c r="H58" s="1" t="s">
        <x:v>101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102</x:v>
      </x:c>
      <x:c r="B59" s="2" t="s">
        <x:v>18</x:v>
      </x:c>
      <x:c r="C59" s="2">
        <x:f>HYPERLINK("https://team-v23u.testit.software/projects/142/tests/270", " меню решения и услуги")</x:f>
      </x:c>
      <x:c r="D59" s="1" t="s">
        <x:v>19</x:v>
      </x:c>
      <x:c r="E59" s="1" t="s">
        <x:v>20</x:v>
      </x:c>
      <x:c r="F59" s="1" t="s">
        <x:v>20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21</x:v>
      </x:c>
      <x:c r="M59" s="1" t="s">
        <x:v>42</x:v>
      </x:c>
      <x:c r="N59" s="1" t="s">
        <x:v>103</x:v>
      </x:c>
      <x:c r="O59" s="1" t="s">
        <x:v>24</x:v>
      </x:c>
      <x:c r="P59" s="1" t="s">
        <x:v>104</x:v>
      </x:c>
      <x:c r="Q59" s="1" t="s">
        <x:v>32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26</x:v>
      </x:c>
      <x:c r="G61" s="1" t="s">
        <x:v>20</x:v>
      </x:c>
      <x:c r="H61" s="1" t="s">
        <x:v>27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105</x:v>
      </x:c>
      <x:c r="G62" s="1" t="s">
        <x:v>20</x:v>
      </x:c>
      <x:c r="H62" s="1" t="s">
        <x:v>74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106</x:v>
      </x:c>
      <x:c r="G63" s="1" t="s">
        <x:v>20</x:v>
      </x:c>
      <x:c r="H63" s="1" t="s">
        <x:v>107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2" t="s">
        <x:v>108</x:v>
      </x:c>
      <x:c r="G64" s="1" t="s">
        <x:v>20</x:v>
      </x:c>
      <x:c r="H64" s="1" t="s">
        <x:v>78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109</x:v>
      </x:c>
      <x:c r="G65" s="1" t="s">
        <x:v>20</x:v>
      </x:c>
      <x:c r="H65" s="1" t="s">
        <x:v>110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2" t="s">
        <x:v>111</x:v>
      </x:c>
      <x:c r="G66" s="1" t="s">
        <x:v>20</x:v>
      </x:c>
      <x:c r="H66" s="1" t="s">
        <x:v>78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112</x:v>
      </x:c>
      <x:c r="G67" s="1" t="s">
        <x:v>20</x:v>
      </x:c>
      <x:c r="H67" s="1" t="s">
        <x:v>110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2" t="s">
        <x:v>113</x:v>
      </x:c>
      <x:c r="G68" s="1" t="s">
        <x:v>20</x:v>
      </x:c>
      <x:c r="H68" s="1" t="s">
        <x:v>114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2" t="s">
        <x:v>115</x:v>
      </x:c>
      <x:c r="G69" s="1" t="s">
        <x:v>20</x:v>
      </x:c>
      <x:c r="H69" s="1" t="s">
        <x:v>114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2" t="s">
        <x:v>116</x:v>
      </x:c>
      <x:c r="G70" s="1" t="s">
        <x:v>20</x:v>
      </x:c>
      <x:c r="H70" s="1" t="s">
        <x:v>114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2" t="s">
        <x:v>117</x:v>
      </x:c>
      <x:c r="G71" s="1" t="s">
        <x:v>20</x:v>
      </x:c>
      <x:c r="H71" s="1" t="s">
        <x:v>114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2" t="s">
        <x:v>118</x:v>
      </x:c>
      <x:c r="G72" s="1" t="s">
        <x:v>20</x:v>
      </x:c>
      <x:c r="H72" s="1" t="s">
        <x:v>114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2" t="s">
        <x:v>119</x:v>
      </x:c>
      <x:c r="G73" s="1" t="s">
        <x:v>20</x:v>
      </x:c>
      <x:c r="H73" s="1" t="s">
        <x:v>114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2" t="s">
        <x:v>120</x:v>
      </x:c>
      <x:c r="G74" s="1" t="s">
        <x:v>20</x:v>
      </x:c>
      <x:c r="H74" s="1" t="s">
        <x:v>114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2" t="s">
        <x:v>121</x:v>
      </x:c>
      <x:c r="G75" s="1" t="s">
        <x:v>20</x:v>
      </x:c>
      <x:c r="H75" s="1" t="s">
        <x:v>114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2" t="s">
        <x:v>122</x:v>
      </x:c>
      <x:c r="G76" s="1" t="s">
        <x:v>20</x:v>
      </x:c>
      <x:c r="H76" s="1" t="s">
        <x:v>114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2" t="s">
        <x:v>123</x:v>
      </x:c>
      <x:c r="G77" s="1" t="s">
        <x:v>20</x:v>
      </x:c>
      <x:c r="H77" s="1" t="s">
        <x:v>114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2" t="s">
        <x:v>124</x:v>
      </x:c>
      <x:c r="G78" s="1" t="s">
        <x:v>20</x:v>
      </x:c>
      <x:c r="H78" s="1" t="s">
        <x:v>114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2" t="s">
        <x:v>125</x:v>
      </x:c>
      <x:c r="G79" s="1" t="s">
        <x:v>20</x:v>
      </x:c>
      <x:c r="H79" s="1" t="s">
        <x:v>114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126</x:v>
      </x:c>
      <x:c r="B80" s="2" t="s">
        <x:v>18</x:v>
      </x:c>
      <x:c r="C80" s="2">
        <x:f>HYPERLINK("https://team-v23u.testit.software/projects/142/tests/271", "проекты")</x:f>
      </x:c>
      <x:c r="D80" s="1" t="s">
        <x:v>19</x:v>
      </x:c>
      <x:c r="E80" s="1" t="s">
        <x:v>20</x:v>
      </x:c>
      <x:c r="F80" s="1" t="s">
        <x:v>20</x:v>
      </x:c>
      <x:c r="G80" s="1" t="s">
        <x:v>20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21</x:v>
      </x:c>
      <x:c r="M80" s="1" t="s">
        <x:v>42</x:v>
      </x:c>
      <x:c r="N80" s="1" t="s">
        <x:v>127</x:v>
      </x:c>
      <x:c r="O80" s="1" t="s">
        <x:v>24</x:v>
      </x:c>
      <x:c r="P80" s="1" t="s">
        <x:v>31</x:v>
      </x:c>
      <x:c r="Q80" s="1" t="s">
        <x:v>32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20</x:v>
      </x:c>
      <x:c r="G81" s="1" t="s">
        <x:v>20</x:v>
      </x:c>
      <x:c r="H81" s="1" t="s">
        <x:v>20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26</x:v>
      </x:c>
      <x:c r="G82" s="1" t="s">
        <x:v>20</x:v>
      </x:c>
      <x:c r="H82" s="1" t="s">
        <x:v>27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128</x:v>
      </x:c>
      <x:c r="G83" s="1" t="s">
        <x:v>20</x:v>
      </x:c>
      <x:c r="H83" s="1" t="s">
        <x:v>78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129</x:v>
      </x:c>
      <x:c r="G84" s="1" t="s">
        <x:v>20</x:v>
      </x:c>
      <x:c r="H84" s="1" t="s">
        <x:v>130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131</x:v>
      </x:c>
      <x:c r="B85" s="2" t="s">
        <x:v>18</x:v>
      </x:c>
      <x:c r="C85" s="2">
        <x:f>HYPERLINK("https://team-v23u.testit.software/projects/142/tests/272", "новости")</x:f>
      </x:c>
      <x:c r="D85" s="1" t="s">
        <x:v>19</x:v>
      </x:c>
      <x:c r="E85" s="1" t="s">
        <x:v>20</x:v>
      </x:c>
      <x:c r="F85" s="1" t="s">
        <x:v>20</x:v>
      </x:c>
      <x:c r="G85" s="1" t="s">
        <x:v>20</x:v>
      </x:c>
      <x:c r="H85" s="1" t="s">
        <x:v>20</x:v>
      </x:c>
      <x:c r="I85" s="1" t="s">
        <x:v>20</x:v>
      </x:c>
      <x:c r="J85" s="1" t="s">
        <x:v>20</x:v>
      </x:c>
      <x:c r="K85" s="1" t="s">
        <x:v>20</x:v>
      </x:c>
      <x:c r="L85" s="1" t="s">
        <x:v>21</x:v>
      </x:c>
      <x:c r="M85" s="1" t="s">
        <x:v>42</x:v>
      </x:c>
      <x:c r="N85" s="1" t="s">
        <x:v>132</x:v>
      </x:c>
      <x:c r="O85" s="1" t="s">
        <x:v>24</x:v>
      </x:c>
      <x:c r="P85" s="1" t="s">
        <x:v>31</x:v>
      </x:c>
      <x:c r="Q85" s="1" t="s">
        <x:v>32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20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26</x:v>
      </x:c>
      <x:c r="G87" s="1" t="s">
        <x:v>20</x:v>
      </x:c>
      <x:c r="H87" s="1" t="s">
        <x:v>27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133</x:v>
      </x:c>
      <x:c r="G88" s="1" t="s">
        <x:v>20</x:v>
      </x:c>
      <x:c r="H88" s="1" t="s">
        <x:v>78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134</x:v>
      </x:c>
      <x:c r="G89" s="1" t="s">
        <x:v>20</x:v>
      </x:c>
      <x:c r="H89" s="1" t="s">
        <x:v>135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136</x:v>
      </x:c>
      <x:c r="B90" s="2" t="s">
        <x:v>18</x:v>
      </x:c>
      <x:c r="C90" s="2">
        <x:f>HYPERLINK("https://team-v23u.testit.software/projects/142/tests/273", "контакты")</x:f>
      </x:c>
      <x:c r="D90" s="1" t="s">
        <x:v>19</x:v>
      </x:c>
      <x:c r="E90" s="1" t="s">
        <x:v>20</x:v>
      </x:c>
      <x:c r="F90" s="1" t="s">
        <x:v>20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21</x:v>
      </x:c>
      <x:c r="M90" s="1" t="s">
        <x:v>42</x:v>
      </x:c>
      <x:c r="N90" s="1" t="s">
        <x:v>137</x:v>
      </x:c>
      <x:c r="O90" s="1" t="s">
        <x:v>24</x:v>
      </x:c>
      <x:c r="P90" s="1" t="s">
        <x:v>31</x:v>
      </x:c>
      <x:c r="Q90" s="1" t="s">
        <x:v>32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20</x:v>
      </x:c>
      <x:c r="G91" s="1" t="s">
        <x:v>20</x:v>
      </x:c>
      <x:c r="H91" s="1" t="s">
        <x:v>20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26</x:v>
      </x:c>
      <x:c r="G92" s="1" t="s">
        <x:v>20</x:v>
      </x:c>
      <x:c r="H92" s="1" t="s">
        <x:v>27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138</x:v>
      </x:c>
      <x:c r="G93" s="1" t="s">
        <x:v>20</x:v>
      </x:c>
      <x:c r="H93" s="1" t="s">
        <x:v>78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139</x:v>
      </x:c>
      <x:c r="G94" s="1" t="s">
        <x:v>20</x:v>
      </x:c>
      <x:c r="H94" s="1" t="s">
        <x:v>140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