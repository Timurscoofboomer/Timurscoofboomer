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f416c7d18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7d7ba11de42aabed14ed481952f2d.psmdcp" Id="R9ca7701bf25c4d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6" i="1"/>
  <x:c r="C15" i="1"/>
  <x:c r="C28" i="1"/>
  <x:c r="C41" i="1"/>
  <x:c r="C54" i="1"/>
  <x:c r="C67" i="1"/>
  <x:c r="C80" i="1"/>
  <x:c r="C82" i="1"/>
  <x:c r="C84" i="1"/>
  <x:c r="C86" i="1"/>
  <x:c r="C97" i="1"/>
  <x:c r="C108" i="1"/>
  <x:c r="C119" i="1"/>
  <x:c r="C130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<x:sst xmlns:x="http://schemas.openxmlformats.org/spreadsheetml/2006/main">
  <x:si>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</x:si>
  <x:si>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</x:si>
  <x:si>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</x:si>
  <x:si>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</x:si>
  <x:si>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</x:si>
  <x:si>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</x:si>
  <x:si>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</x:si>
  <x:si>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</x:si>
  <x:si>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</x:si>
  <x:si>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</x:si>
  <x:si>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</x:si>
  <x:si>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</x:si>
  <x:si>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</x:si>
  <x:si>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</x:si>
  <x:si>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</x:si>
  <x:si>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</x:si>
  <x:si>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</x:si>
  <x:si>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238</x:t>
  </x:si>
  <x:si>
    <x:t>стажировка -&gt; https://probookrf.ru/</x:t>
  </x:si>
  <x:si>
    <x:t>Нет</x:t>
  </x:si>
  <x:si>
    <x:t/>
  </x:si>
  <x:si>
    <x:t>Высокий</x:t>
  </x:si>
  <x:si>
    <x:t>Готов</x:t>
  </x:si>
  <x:si>
    <x:t>9/30/2025 11:06:59</x:t>
  </x:si>
  <x:si>
    <x:t>тимур гатауллин</x:t>
  </x:si>
  <x:si>
    <x:t>0h 0m 0s</x:t>
  </x:si>
  <x:si>
    <x:t>открыть сайт https://probookrf.ru/</x:t>
  </x:si>
  <x:si>
    <x:t>сайт доступен</x:t>
  </x:si>
  <x:si>
    <x:t>кликнуть на логотип “Профиль” в хедере</x:t>
  </x:si>
  <x:si>
    <x:t>открылась форма для входа</x:t>
  </x:si>
  <x:si>
    <x:t>кликнуть на ссылку “зарегистрироваться” ниже полей входа</x:t>
  </x:si>
  <x:si>
    <x:t>открылась форма для регистрации</x:t>
  </x:si>
  <x:si>
    <x:t>242</x:t>
  </x:si>
  <x:si>
    <x:t>Средний</x:t>
  </x:si>
  <x:si>
    <x:t>9/30/2025 11:44:41</x:t>
  </x:si>
  <x:si>
    <x:t>0h 5m 0s</x:t>
  </x:si>
  <x:si>
    <x:t>негативный</x:t>
  </x:si>
  <x:si>
    <x:t>во всех полях оставить пустые значения</x:t>
  </x:si>
  <x:si>
    <x:t>поля пусты</x:t>
  </x:si>
  <x:si>
    <x:t>поставить галочку в ячейку согласия на обработку персональных данных</x:t>
  </x:si>
  <x:si>
    <x:t>галочка стоит</x:t>
  </x:si>
  <x:si>
    <x:t>кликнуть кнопку “зарегистрироваться”</x:t>
  </x:si>
  <x:si>
    <x:t>валидация не проходит</x:t>
  </x:si>
  <x:si>
    <x:t>разлогиниться</x:t>
  </x:si>
  <x:si>
    <x:t>пользователь не авторизован</x:t>
  </x:si>
  <x:si>
    <x:t>239</x:t>
  </x:si>
  <x:si>
    <x:t>Ваше имя4: Саша; контактный телефон 4: +79054785412; пароль 4: Worldofwarcraft; email4: timurrodrigez@mail.ru;</x:t>
  </x:si>
  <x:si>
    <x:t>9/30/2025 11:09:03</x:t>
  </x:si>
  <x:si>
    <x:t>в поле “ваше имя” ввести %Ваше имя4</x:t>
  </x:si>
  <x:si>
    <x:t>инфа принята</x:t>
  </x:si>
  <x:si>
    <x:t>в поле “Контактный телефон” ввести %контактный телефон 4</x:t>
  </x:si>
  <x:si>
    <x:t>в поле “Email” ввести %email4</x:t>
  </x:si>
  <x:si>
    <x:t>в поле “Пароль” ввести %пароль 4</x:t>
  </x:si>
  <x:si>
    <x:t>в поле “повторить пароль” ввести ранее введенный пароль</x:t>
  </x:si>
  <x:si>
    <x:t>поставить галочку согласия обработки данных</x:t>
  </x:si>
  <x:si>
    <x:t>кликнуть кнопку “Зарегистрироваться”</x:t>
  </x:si>
  <x:si>
    <x:t>открылась страница с данными  авторизованного пользователя</x:t>
  </x:si>
  <x:si>
    <x:t>241</x:t>
  </x:si>
  <x:si>
    <x:t>9/30/2025 11:40:42</x:t>
  </x:si>
  <x:si>
    <x:t>в поле “повторить пароль” ввести ОТЛИЧНЫЙ от ранее введенного пароль</x:t>
  </x:si>
  <x:si>
    <x:t>в регистрации отказано</x:t>
  </x:si>
  <x:si>
    <x:t>243</x:t>
  </x:si>
  <x:si>
    <x:t>9/30/2025 11:47:30</x:t>
  </x:si>
  <x:si>
    <x:t>не ставить галочку согласия обработки данных</x:t>
  </x:si>
  <x:si>
    <x:t>галочка не стоит</x:t>
  </x:si>
  <x:si>
    <x:t>регистрация не осуществляется</x:t>
  </x:si>
  <x:si>
    <x:t>244</x:t>
  </x:si>
  <x:si>
    <x:t>Ваше имя4: Саша; контактный телефон 4: +79054785412; пароль 4: Worldofwarcraft; email4: timurrodrigezmail.ru;
Ваше имя4: Саша; контактный телефон 4: +79054785412; пароль 4: Worldofwarcraft; email4: wefwefwfwe;
Ваше имя4: Саша; контактный телефон 4: +79054785412; пароль 4: Worldofwarcraft; email4: timurrodrige@mail;</x:t>
  </x:si>
  <x:si>
    <x:t>9/30/2025 11:53:53</x:t>
  </x:si>
  <x:si>
    <x:t>регистрация не проходит из-за неверного адреса почты</x:t>
  </x:si>
  <x:si>
    <x:t>246</x:t>
  </x:si>
  <x:si>
    <x:t>Ваше имя4: Саша; контактный телефон 4: 0000000; пароль 4: Worldofwarcraft; email4: tiurrodrigez@mail.ru;
Ваше имя4: Саша; контактный телефон 4: 5101547; пароль 4: Worldofwarcraft; email4: tiurrodrigez@mail.ru;
Ваше имя4: Саша; контактный телефон 4: -1; пароль 4: Worldofwarcraft; email4: tiurrodrigez@mail.ru;</x:t>
  </x:si>
  <x:si>
    <x:t>9/30/2025 12:00:38</x:t>
  </x:si>
  <x:si>
    <x:t>регистрация не проходит. система требует указать телефон в международном формате</x:t>
  </x:si>
  <x:si>
    <x:t>517</x:t>
  </x:si>
  <x:si>
    <x:t>10/7/2025 04:53:08</x:t>
  </x:si>
  <x:si>
    <x:t>открыть сайт probookrf.ru</x:t>
  </x:si>
  <x:si>
    <x:t>сайт открыт</x:t>
  </x:si>
  <x:si>
    <x:t>518</x:t>
  </x:si>
  <x:si>
    <x:t>10/7/2025 04:53:55</x:t>
  </x:si>
  <x:si>
    <x:t>кликнуть логотип “Профиль” в хедере</x:t>
  </x:si>
  <x:si>
    <x:t>519</x:t>
  </x:si>
  <x:si>
    <x:t>10/7/2025 04:54:27</x:t>
  </x:si>
  <x:si>
    <x:t>520</x:t>
  </x:si>
  <x:si>
    <x:t>контактный телефон 4: 89054785412; пароль 4: Worldo22fwarcraft4@; email4: himy141aka4@yandex.ru;</x:t>
  </x:si>
  <x:si>
    <x:t>10/7/2025 04:56:24</x:t>
  </x:si>
  <x:si>
    <x:t>0h 2m 0s</x:t>
  </x:si>
  <x:si>
    <x:t>поле “ваше имя” оставить пустым</x:t>
  </x:si>
  <x:si>
    <x:t>обязательное поле “ваше имя“ осталось пустым</x:t>
  </x:si>
  <x:si>
    <x:t>сайт требует заполнить обязательное поле</x:t>
  </x:si>
  <x:si>
    <x:t>521</x:t>
  </x:si>
  <x:si>
    <x:t>Ваше имя4: Саша; пароль 4: Worldo22fwarcraft4@; email4: himy141aka4@yandex.ru;</x:t>
  </x:si>
  <x:si>
    <x:t>10/7/2025 05:05:03</x:t>
  </x:si>
  <x:si>
    <x:t>в поле “ваше имя” ввести имя %Ваше имя4</x:t>
  </x:si>
  <x:si>
    <x:t>поле “Контактный телефон” оставить пустым</x:t>
  </x:si>
  <x:si>
    <x:t>обязательное поле “Контактный телефон“ оставлено пустым</x:t>
  </x:si>
  <x:si>
    <x:t>522</x:t>
  </x:si>
  <x:si>
    <x:t>Ваше имя4: Саша; контактный телефон 4: 89059785412; пароль 4: Worldo22fwarcraft4@;</x:t>
  </x:si>
  <x:si>
    <x:t>10/7/2025 05:07:13</x:t>
  </x:si>
  <x:si>
    <x:t>в поле “Контактный телефон” ввести номер телефона %контактный телефон 4</x:t>
  </x:si>
  <x:si>
    <x:t>поле “Email” оставить пустым</x:t>
  </x:si>
  <x:si>
    <x:t>обязательное поле “Email“ оставлено пустым</x:t>
  </x:si>
  <x:si>
    <x:t>523</x:t>
  </x:si>
  <x:si>
    <x:t>Ваше имя4: Саша; контактный телефон 4: 89059785412; пароль 4: qweeWorldofwarcraft3; email4: kosh32163myaka@yandex.ru;</x:t>
  </x:si>
  <x:si>
    <x:t>10/7/2025 05:10:54</x:t>
  </x:si>
  <x:si>
    <x:t>баг</x:t>
  </x:si>
  <x:si>
    <x:t>в поле “Email” ввести адрес почты %email4</x:t>
  </x:si>
  <x:si>
    <x:t>поле “Пароль” оставить пустым</x:t>
  </x:si>
  <x:si>
    <x:t>обязательное поле “Пароль“ оставлено пустым</x:t>
  </x:si>
  <x:si>
    <x:t>в поле “повторить пароль” ввести пароль %пароль 4</x:t>
  </x:si>
  <x:si>
    <x:t>524</x:t>
  </x:si>
  <x:si>
    <x:t>10/7/2025 05:17:26</x:t>
  </x:si>
  <x:si>
    <x:t>в поле “Пароль” ввести пароль %пароль 4</x:t>
  </x:si>
  <x:si>
    <x:t>поле “Повторите пароль” оставить пустым</x:t>
  </x:si>
  <x:si>
    <x:t>обязательное поле “Повторите пароль“ оставлено пустым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</x:si>
</x:sst>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40" totalsRowShown="0">
  <x:autoFilter ref="A1:Q140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40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4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50.710625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1.853482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HYPERLINK("https://team-v23u.testit.software/projects/142/tests/238", "вход в форму регистрации")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HYPERLINK("https://team-v23u.testit.software/projects/142/tests/242", " ввод пустых полей")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33</x:v>
      </x:c>
      <x:c r="M6" s="1" t="s">
        <x:v>22</x:v>
      </x:c>
      <x:c r="N6" s="1" t="s">
        <x:v>34</x:v>
      </x:c>
      <x:c r="O6" s="1" t="s">
        <x:v>24</x:v>
      </x:c>
      <x:c r="P6" s="1" t="s">
        <x:v>35</x:v>
      </x:c>
      <x:c r="Q6" s="1" t="s">
        <x:v>36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20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26</x:v>
      </x:c>
      <x:c r="G8" s="1" t="s">
        <x:v>20</x:v>
      </x:c>
      <x:c r="H8" s="1" t="s">
        <x:v>27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28</x:v>
      </x:c>
      <x:c r="G9" s="1" t="s">
        <x:v>20</x:v>
      </x:c>
      <x:c r="H9" s="1" t="s">
        <x:v>29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30</x:v>
      </x:c>
      <x:c r="G10" s="1" t="s">
        <x:v>20</x:v>
      </x:c>
      <x:c r="H10" s="1" t="s">
        <x:v>31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37</x:v>
      </x:c>
      <x:c r="G11" s="1" t="s">
        <x:v>20</x:v>
      </x:c>
      <x:c r="H11" s="1" t="s">
        <x:v>38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41</x:v>
      </x:c>
      <x:c r="G13" s="1" t="s">
        <x:v>20</x:v>
      </x:c>
      <x:c r="H13" s="1" t="s">
        <x:v>42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20</x:v>
      </x:c>
      <x:c r="G14" s="1" t="s">
        <x:v>43</x:v>
      </x:c>
      <x:c r="H14" s="1" t="s">
        <x:v>44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45</x:v>
      </x:c>
      <x:c r="B15" s="2" t="s">
        <x:v>18</x:v>
      </x:c>
      <x:c r="C15" s="2">
        <x:f>HYPERLINK("https://team-v23u.testit.software/projects/142/tests/239", "ввод валидных данных (пароль тот же)")</x:f>
      </x:c>
      <x:c r="D15" s="1" t="s">
        <x:v>19</x:v>
      </x:c>
      <x:c r="E15" s="1" t="s">
        <x:v>20</x:v>
      </x:c>
      <x:c r="F15" s="1" t="s">
        <x:v>20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46</x:v>
      </x:c>
      <x:c r="L15" s="1" t="s">
        <x:v>33</x:v>
      </x:c>
      <x:c r="M15" s="1" t="s">
        <x:v>22</x:v>
      </x:c>
      <x:c r="N15" s="1" t="s">
        <x:v>47</x:v>
      </x:c>
      <x:c r="O15" s="1" t="s">
        <x:v>24</x:v>
      </x:c>
      <x:c r="P15" s="1" t="s">
        <x:v>35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20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26</x:v>
      </x:c>
      <x:c r="G17" s="1" t="s">
        <x:v>20</x:v>
      </x:c>
      <x:c r="H17" s="1" t="s">
        <x:v>27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28</x:v>
      </x:c>
      <x:c r="G18" s="1" t="s">
        <x:v>20</x:v>
      </x:c>
      <x:c r="H18" s="1" t="s">
        <x:v>29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30</x:v>
      </x:c>
      <x:c r="G19" s="1" t="s">
        <x:v>20</x:v>
      </x:c>
      <x:c r="H19" s="1" t="s">
        <x:v>31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48</x:v>
      </x:c>
      <x:c r="G20" s="1" t="s">
        <x:v>20</x:v>
      </x:c>
      <x:c r="H20" s="1" t="s">
        <x:v>49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50</x:v>
      </x:c>
      <x:c r="G21" s="1" t="s">
        <x:v>20</x:v>
      </x:c>
      <x:c r="H21" s="1" t="s">
        <x:v>49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51</x:v>
      </x:c>
      <x:c r="G22" s="1" t="s">
        <x:v>20</x:v>
      </x:c>
      <x:c r="H22" s="1" t="s">
        <x:v>49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52</x:v>
      </x:c>
      <x:c r="G23" s="1" t="s">
        <x:v>20</x:v>
      </x:c>
      <x:c r="H23" s="1" t="s">
        <x:v>49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53</x:v>
      </x:c>
      <x:c r="G24" s="1" t="s">
        <x:v>20</x:v>
      </x:c>
      <x:c r="H24" s="1" t="s">
        <x:v>49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54</x:v>
      </x:c>
      <x:c r="G25" s="1" t="s">
        <x:v>20</x:v>
      </x:c>
      <x:c r="H25" s="1" t="s">
        <x:v>40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55</x:v>
      </x:c>
      <x:c r="G26" s="1" t="s">
        <x:v>20</x:v>
      </x:c>
      <x:c r="H26" s="1" t="s">
        <x:v>56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20</x:v>
      </x:c>
      <x:c r="G27" s="1" t="s">
        <x:v>43</x:v>
      </x:c>
      <x:c r="H27" s="1" t="s">
        <x:v>44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57</x:v>
      </x:c>
      <x:c r="B28" s="2" t="s">
        <x:v>18</x:v>
      </x:c>
      <x:c r="C28" s="2">
        <x:f>HYPERLINK("https://team-v23u.testit.software/projects/142/tests/241", " ввод валидных данных (пароль другой)")</x:f>
      </x:c>
      <x:c r="D28" s="1" t="s">
        <x:v>19</x:v>
      </x:c>
      <x:c r="E28" s="1" t="s">
        <x:v>20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46</x:v>
      </x:c>
      <x:c r="L28" s="1" t="s">
        <x:v>33</x:v>
      </x:c>
      <x:c r="M28" s="1" t="s">
        <x:v>22</x:v>
      </x:c>
      <x:c r="N28" s="1" t="s">
        <x:v>58</x:v>
      </x:c>
      <x:c r="O28" s="1" t="s">
        <x:v>24</x:v>
      </x:c>
      <x:c r="P28" s="1" t="s">
        <x:v>35</x:v>
      </x:c>
      <x:c r="Q28" s="1" t="s">
        <x:v>36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26</x:v>
      </x:c>
      <x:c r="G30" s="1" t="s">
        <x:v>20</x:v>
      </x:c>
      <x:c r="H30" s="1" t="s">
        <x:v>27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28</x:v>
      </x:c>
      <x:c r="G31" s="1" t="s">
        <x:v>20</x:v>
      </x:c>
      <x:c r="H31" s="1" t="s">
        <x:v>29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30</x:v>
      </x:c>
      <x:c r="G32" s="1" t="s">
        <x:v>20</x:v>
      </x:c>
      <x:c r="H32" s="1" t="s">
        <x:v>31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48</x:v>
      </x:c>
      <x:c r="G33" s="1" t="s">
        <x:v>20</x:v>
      </x:c>
      <x:c r="H33" s="1" t="s">
        <x:v>49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50</x:v>
      </x:c>
      <x:c r="G34" s="1" t="s">
        <x:v>20</x:v>
      </x:c>
      <x:c r="H34" s="1" t="s">
        <x:v>49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51</x:v>
      </x:c>
      <x:c r="G35" s="1" t="s">
        <x:v>20</x:v>
      </x:c>
      <x:c r="H35" s="1" t="s">
        <x:v>49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52</x:v>
      </x:c>
      <x:c r="G36" s="1" t="s">
        <x:v>20</x:v>
      </x:c>
      <x:c r="H36" s="1" t="s">
        <x:v>49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59</x:v>
      </x:c>
      <x:c r="G37" s="1" t="s">
        <x:v>20</x:v>
      </x:c>
      <x:c r="H37" s="1" t="s">
        <x:v>49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54</x:v>
      </x:c>
      <x:c r="G38" s="1" t="s">
        <x:v>20</x:v>
      </x:c>
      <x:c r="H38" s="1" t="s">
        <x:v>40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55</x:v>
      </x:c>
      <x:c r="G39" s="1" t="s">
        <x:v>20</x:v>
      </x:c>
      <x:c r="H39" s="1" t="s">
        <x:v>60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20</x:v>
      </x:c>
      <x:c r="G40" s="1" t="s">
        <x:v>43</x:v>
      </x:c>
      <x:c r="H40" s="1" t="s">
        <x:v>44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61</x:v>
      </x:c>
      <x:c r="B41" s="2" t="s">
        <x:v>18</x:v>
      </x:c>
      <x:c r="C41" s="2">
        <x:f>HYPERLINK("https://team-v23u.testit.software/projects/142/tests/243", " ввод валидных данных (пароль тот же) без галочки согласия")</x:f>
      </x:c>
      <x:c r="D41" s="1" t="s">
        <x:v>19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46</x:v>
      </x:c>
      <x:c r="L41" s="1" t="s">
        <x:v>33</x:v>
      </x:c>
      <x:c r="M41" s="1" t="s">
        <x:v>22</x:v>
      </x:c>
      <x:c r="N41" s="1" t="s">
        <x:v>62</x:v>
      </x:c>
      <x:c r="O41" s="1" t="s">
        <x:v>24</x:v>
      </x:c>
      <x:c r="P41" s="1" t="s">
        <x:v>35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26</x:v>
      </x:c>
      <x:c r="G43" s="1" t="s">
        <x:v>20</x:v>
      </x:c>
      <x:c r="H43" s="1" t="s">
        <x:v>27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28</x:v>
      </x:c>
      <x:c r="G44" s="1" t="s">
        <x:v>20</x:v>
      </x:c>
      <x:c r="H44" s="1" t="s">
        <x:v>29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30</x:v>
      </x:c>
      <x:c r="G45" s="1" t="s">
        <x:v>20</x:v>
      </x:c>
      <x:c r="H45" s="1" t="s">
        <x:v>31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48</x:v>
      </x:c>
      <x:c r="G46" s="1" t="s">
        <x:v>20</x:v>
      </x:c>
      <x:c r="H46" s="1" t="s">
        <x:v>49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50</x:v>
      </x:c>
      <x:c r="G47" s="1" t="s">
        <x:v>20</x:v>
      </x:c>
      <x:c r="H47" s="1" t="s">
        <x:v>49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51</x:v>
      </x:c>
      <x:c r="G48" s="1" t="s">
        <x:v>20</x:v>
      </x:c>
      <x:c r="H48" s="1" t="s">
        <x:v>49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52</x:v>
      </x:c>
      <x:c r="G49" s="1" t="s">
        <x:v>20</x:v>
      </x:c>
      <x:c r="H49" s="1" t="s">
        <x:v>49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53</x:v>
      </x:c>
      <x:c r="G50" s="1" t="s">
        <x:v>20</x:v>
      </x:c>
      <x:c r="H50" s="1" t="s">
        <x:v>49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63</x:v>
      </x:c>
      <x:c r="G51" s="1" t="s">
        <x:v>20</x:v>
      </x:c>
      <x:c r="H51" s="1" t="s">
        <x:v>64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55</x:v>
      </x:c>
      <x:c r="G52" s="1" t="s">
        <x:v>20</x:v>
      </x:c>
      <x:c r="H52" s="1" t="s">
        <x:v>65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20</x:v>
      </x:c>
      <x:c r="G53" s="1" t="s">
        <x:v>43</x:v>
      </x:c>
      <x:c r="H53" s="1" t="s">
        <x:v>44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66</x:v>
      </x:c>
      <x:c r="B54" s="2" t="s">
        <x:v>18</x:v>
      </x:c>
      <x:c r="C54" s="2">
        <x:f>HYPERLINK("https://team-v23u.testit.software/projects/142/tests/244", " ввод инвалидной почты")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2" t="s">
        <x:v>67</x:v>
      </x:c>
      <x:c r="L54" s="1" t="s">
        <x:v>33</x:v>
      </x:c>
      <x:c r="M54" s="1" t="s">
        <x:v>22</x:v>
      </x:c>
      <x:c r="N54" s="1" t="s">
        <x:v>68</x:v>
      </x:c>
      <x:c r="O54" s="1" t="s">
        <x:v>24</x:v>
      </x:c>
      <x:c r="P54" s="1" t="s">
        <x:v>35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26</x:v>
      </x:c>
      <x:c r="G56" s="1" t="s">
        <x:v>20</x:v>
      </x:c>
      <x:c r="H56" s="1" t="s">
        <x:v>27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28</x:v>
      </x:c>
      <x:c r="G57" s="1" t="s">
        <x:v>20</x:v>
      </x:c>
      <x:c r="H57" s="1" t="s">
        <x:v>29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30</x:v>
      </x:c>
      <x:c r="G58" s="1" t="s">
        <x:v>20</x:v>
      </x:c>
      <x:c r="H58" s="1" t="s">
        <x:v>31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48</x:v>
      </x:c>
      <x:c r="G59" s="1" t="s">
        <x:v>20</x:v>
      </x:c>
      <x:c r="H59" s="1" t="s">
        <x:v>49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50</x:v>
      </x:c>
      <x:c r="G60" s="1" t="s">
        <x:v>20</x:v>
      </x:c>
      <x:c r="H60" s="1" t="s">
        <x:v>49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51</x:v>
      </x:c>
      <x:c r="G61" s="1" t="s">
        <x:v>20</x:v>
      </x:c>
      <x:c r="H61" s="1" t="s">
        <x:v>49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52</x:v>
      </x:c>
      <x:c r="G62" s="1" t="s">
        <x:v>20</x:v>
      </x:c>
      <x:c r="H62" s="1" t="s">
        <x:v>49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53</x:v>
      </x:c>
      <x:c r="G63" s="1" t="s">
        <x:v>20</x:v>
      </x:c>
      <x:c r="H63" s="1" t="s">
        <x:v>49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54</x:v>
      </x:c>
      <x:c r="G64" s="1" t="s">
        <x:v>20</x:v>
      </x:c>
      <x:c r="H64" s="1" t="s">
        <x:v>40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55</x:v>
      </x:c>
      <x:c r="G65" s="1" t="s">
        <x:v>20</x:v>
      </x:c>
      <x:c r="H65" s="1" t="s">
        <x:v>69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20</x:v>
      </x:c>
      <x:c r="G66" s="1" t="s">
        <x:v>43</x:v>
      </x:c>
      <x:c r="H66" s="1" t="s">
        <x:v>44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70</x:v>
      </x:c>
      <x:c r="B67" s="2" t="s">
        <x:v>18</x:v>
      </x:c>
      <x:c r="C67" s="2">
        <x:f>HYPERLINK("https://team-v23u.testit.software/projects/142/tests/246", "  ввод инвалидного телефона")</x:f>
      </x:c>
      <x:c r="D67" s="1" t="s">
        <x:v>19</x:v>
      </x:c>
      <x:c r="E67" s="1" t="s">
        <x:v>20</x:v>
      </x:c>
      <x:c r="F67" s="1" t="s">
        <x:v>20</x:v>
      </x:c>
      <x:c r="G67" s="1" t="s">
        <x:v>20</x:v>
      </x:c>
      <x:c r="H67" s="1" t="s">
        <x:v>20</x:v>
      </x:c>
      <x:c r="I67" s="1" t="s">
        <x:v>20</x:v>
      </x:c>
      <x:c r="J67" s="1" t="s">
        <x:v>20</x:v>
      </x:c>
      <x:c r="K67" s="2" t="s">
        <x:v>71</x:v>
      </x:c>
      <x:c r="L67" s="1" t="s">
        <x:v>33</x:v>
      </x:c>
      <x:c r="M67" s="1" t="s">
        <x:v>22</x:v>
      </x:c>
      <x:c r="N67" s="1" t="s">
        <x:v>72</x:v>
      </x:c>
      <x:c r="O67" s="1" t="s">
        <x:v>24</x:v>
      </x:c>
      <x:c r="P67" s="1" t="s">
        <x:v>35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20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26</x:v>
      </x:c>
      <x:c r="G69" s="1" t="s">
        <x:v>20</x:v>
      </x:c>
      <x:c r="H69" s="1" t="s">
        <x:v>27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28</x:v>
      </x:c>
      <x:c r="G70" s="1" t="s">
        <x:v>20</x:v>
      </x:c>
      <x:c r="H70" s="1" t="s">
        <x:v>29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30</x:v>
      </x:c>
      <x:c r="G71" s="1" t="s">
        <x:v>20</x:v>
      </x:c>
      <x:c r="H71" s="1" t="s">
        <x:v>31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48</x:v>
      </x:c>
      <x:c r="G72" s="1" t="s">
        <x:v>20</x:v>
      </x:c>
      <x:c r="H72" s="1" t="s">
        <x:v>49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50</x:v>
      </x:c>
      <x:c r="G73" s="1" t="s">
        <x:v>20</x:v>
      </x:c>
      <x:c r="H73" s="1" t="s">
        <x:v>49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51</x:v>
      </x:c>
      <x:c r="G74" s="1" t="s">
        <x:v>20</x:v>
      </x:c>
      <x:c r="H74" s="1" t="s">
        <x:v>49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52</x:v>
      </x:c>
      <x:c r="G75" s="1" t="s">
        <x:v>20</x:v>
      </x:c>
      <x:c r="H75" s="1" t="s">
        <x:v>49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53</x:v>
      </x:c>
      <x:c r="G76" s="1" t="s">
        <x:v>20</x:v>
      </x:c>
      <x:c r="H76" s="1" t="s">
        <x:v>49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54</x:v>
      </x:c>
      <x:c r="G77" s="1" t="s">
        <x:v>20</x:v>
      </x:c>
      <x:c r="H77" s="1" t="s">
        <x:v>40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55</x:v>
      </x:c>
      <x:c r="G78" s="1" t="s">
        <x:v>20</x:v>
      </x:c>
      <x:c r="H78" s="1" t="s">
        <x:v>73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20</x:v>
      </x:c>
      <x:c r="G79" s="1" t="s">
        <x:v>43</x:v>
      </x:c>
      <x:c r="H79" s="1" t="s">
        <x:v>44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74</x:v>
      </x:c>
      <x:c r="B80" s="2" t="s">
        <x:v>18</x:v>
      </x:c>
      <x:c r="C80" s="2">
        <x:f>HYPERLINK("https://team-v23u.testit.software/projects/142/tests/517", "старт")</x:f>
      </x:c>
      <x:c r="D80" s="1" t="s">
        <x:v>19</x:v>
      </x:c>
      <x:c r="E80" s="1" t="s">
        <x:v>20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33</x:v>
      </x:c>
      <x:c r="M80" s="1" t="s">
        <x:v>22</x:v>
      </x:c>
      <x:c r="N80" s="1" t="s">
        <x:v>75</x:v>
      </x:c>
      <x:c r="O80" s="1" t="s">
        <x:v>24</x:v>
      </x:c>
      <x:c r="P80" s="1" t="s">
        <x:v>25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76</x:v>
      </x:c>
      <x:c r="G81" s="1" t="s">
        <x:v>20</x:v>
      </x:c>
      <x:c r="H81" s="1" t="s">
        <x:v>77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78</x:v>
      </x:c>
      <x:c r="B82" s="2" t="s">
        <x:v>18</x:v>
      </x:c>
      <x:c r="C82" s="2">
        <x:f>HYPERLINK("https://team-v23u.testit.software/projects/142/tests/518", "лого профиль")</x:f>
      </x:c>
      <x:c r="D82" s="1" t="s">
        <x:v>19</x:v>
      </x:c>
      <x:c r="E82" s="1" t="s">
        <x:v>20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33</x:v>
      </x:c>
      <x:c r="M82" s="1" t="s">
        <x:v>22</x:v>
      </x:c>
      <x:c r="N82" s="1" t="s">
        <x:v>79</x:v>
      </x:c>
      <x:c r="O82" s="1" t="s">
        <x:v>24</x:v>
      </x:c>
      <x:c r="P82" s="1" t="s">
        <x:v>25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80</x:v>
      </x:c>
      <x:c r="G83" s="1" t="s">
        <x:v>20</x:v>
      </x:c>
      <x:c r="H83" s="1" t="s">
        <x:v>29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81</x:v>
      </x:c>
      <x:c r="B84" s="2" t="s">
        <x:v>18</x:v>
      </x:c>
      <x:c r="C84" s="2">
        <x:f>HYPERLINK("https://team-v23u.testit.software/projects/142/tests/519", """рега""")</x:f>
      </x:c>
      <x:c r="D84" s="1" t="s">
        <x:v>19</x:v>
      </x:c>
      <x:c r="E84" s="1" t="s">
        <x:v>20</x:v>
      </x:c>
      <x:c r="F84" s="1" t="s">
        <x:v>20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33</x:v>
      </x:c>
      <x:c r="M84" s="1" t="s">
        <x:v>22</x:v>
      </x:c>
      <x:c r="N84" s="1" t="s">
        <x:v>82</x:v>
      </x:c>
      <x:c r="O84" s="1" t="s">
        <x:v>24</x:v>
      </x:c>
      <x:c r="P84" s="1" t="s">
        <x:v>25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30</x:v>
      </x:c>
      <x:c r="G85" s="1" t="s">
        <x:v>20</x:v>
      </x:c>
      <x:c r="H85" s="1" t="s">
        <x:v>31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83</x:v>
      </x:c>
      <x:c r="B86" s="2" t="s">
        <x:v>18</x:v>
      </x:c>
      <x:c r="C86" s="2">
        <x:f>HYPERLINK("https://team-v23u.testit.software/projects/142/tests/520", "пустое имя")</x:f>
      </x:c>
      <x:c r="D86" s="1" t="s">
        <x:v>19</x:v>
      </x:c>
      <x:c r="E86" s="1" t="s">
        <x:v>20</x:v>
      </x:c>
      <x:c r="F86" s="1" t="s">
        <x:v>20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84</x:v>
      </x:c>
      <x:c r="L86" s="1" t="s">
        <x:v>33</x:v>
      </x:c>
      <x:c r="M86" s="1" t="s">
        <x:v>22</x:v>
      </x:c>
      <x:c r="N86" s="1" t="s">
        <x:v>85</x:v>
      </x:c>
      <x:c r="O86" s="1" t="s">
        <x:v>24</x:v>
      </x:c>
      <x:c r="P86" s="1" t="s">
        <x:v>86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76</x:v>
      </x:c>
      <x:c r="G87" s="1" t="s">
        <x:v>20</x:v>
      </x:c>
      <x:c r="H87" s="1" t="s">
        <x:v>77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80</x:v>
      </x:c>
      <x:c r="G88" s="1" t="s">
        <x:v>20</x:v>
      </x:c>
      <x:c r="H88" s="1" t="s">
        <x:v>29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30</x:v>
      </x:c>
      <x:c r="G89" s="1" t="s">
        <x:v>20</x:v>
      </x:c>
      <x:c r="H89" s="1" t="s">
        <x:v>31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87</x:v>
      </x:c>
      <x:c r="G90" s="1" t="s">
        <x:v>20</x:v>
      </x:c>
      <x:c r="H90" s="1" t="s">
        <x:v>88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50</x:v>
      </x:c>
      <x:c r="G91" s="1" t="s">
        <x:v>20</x:v>
      </x:c>
      <x:c r="H91" s="1" t="s">
        <x:v>49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51</x:v>
      </x:c>
      <x:c r="G92" s="1" t="s">
        <x:v>20</x:v>
      </x:c>
      <x:c r="H92" s="1" t="s">
        <x:v>49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52</x:v>
      </x:c>
      <x:c r="G93" s="1" t="s">
        <x:v>20</x:v>
      </x:c>
      <x:c r="H93" s="1" t="s">
        <x:v>49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20</x:v>
      </x:c>
      <x:c r="B94" s="2" t="s">
        <x:v>20</x:v>
      </x:c>
      <x:c r="C94" s="2" t="s">
        <x:v>20</x:v>
      </x:c>
      <x:c r="D94" s="1" t="s">
        <x:v>20</x:v>
      </x:c>
      <x:c r="E94" s="1" t="s">
        <x:v>20</x:v>
      </x:c>
      <x:c r="F94" s="1" t="s">
        <x:v>53</x:v>
      </x:c>
      <x:c r="G94" s="1" t="s">
        <x:v>20</x:v>
      </x:c>
      <x:c r="H94" s="1" t="s">
        <x:v>49</x:v>
      </x:c>
      <x:c r="I94" s="1" t="s">
        <x:v>20</x:v>
      </x:c>
      <x:c r="J94" s="1" t="s">
        <x:v>20</x:v>
      </x:c>
      <x:c r="K94" s="1" t="s">
        <x:v>20</x:v>
      </x:c>
      <x:c r="L94" s="1" t="s">
        <x:v>20</x:v>
      </x:c>
      <x:c r="M94" s="1" t="s">
        <x:v>20</x:v>
      </x:c>
      <x:c r="N94" s="1" t="s">
        <x:v>20</x:v>
      </x:c>
      <x:c r="O94" s="1" t="s">
        <x:v>20</x:v>
      </x:c>
      <x:c r="P94" s="1" t="s">
        <x:v>20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54</x:v>
      </x:c>
      <x:c r="G95" s="1" t="s">
        <x:v>20</x:v>
      </x:c>
      <x:c r="H95" s="1" t="s">
        <x:v>40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55</x:v>
      </x:c>
      <x:c r="G96" s="1" t="s">
        <x:v>20</x:v>
      </x:c>
      <x:c r="H96" s="1" t="s">
        <x:v>89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90</x:v>
      </x:c>
      <x:c r="B97" s="2" t="s">
        <x:v>18</x:v>
      </x:c>
      <x:c r="C97" s="2">
        <x:f>HYPERLINK("https://team-v23u.testit.software/projects/142/tests/521", "пустой телефон")</x:f>
      </x:c>
      <x:c r="D97" s="1" t="s">
        <x:v>19</x:v>
      </x:c>
      <x:c r="E97" s="1" t="s">
        <x:v>20</x:v>
      </x:c>
      <x:c r="F97" s="1" t="s">
        <x:v>20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91</x:v>
      </x:c>
      <x:c r="L97" s="1" t="s">
        <x:v>33</x:v>
      </x:c>
      <x:c r="M97" s="1" t="s">
        <x:v>22</x:v>
      </x:c>
      <x:c r="N97" s="1" t="s">
        <x:v>92</x:v>
      </x:c>
      <x:c r="O97" s="1" t="s">
        <x:v>24</x:v>
      </x:c>
      <x:c r="P97" s="1" t="s">
        <x:v>86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76</x:v>
      </x:c>
      <x:c r="G98" s="1" t="s">
        <x:v>20</x:v>
      </x:c>
      <x:c r="H98" s="1" t="s">
        <x:v>77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80</x:v>
      </x:c>
      <x:c r="G99" s="1" t="s">
        <x:v>20</x:v>
      </x:c>
      <x:c r="H99" s="1" t="s">
        <x:v>29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30</x:v>
      </x:c>
      <x:c r="G100" s="1" t="s">
        <x:v>20</x:v>
      </x:c>
      <x:c r="H100" s="1" t="s">
        <x:v>31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93</x:v>
      </x:c>
      <x:c r="G101" s="1" t="s">
        <x:v>20</x:v>
      </x:c>
      <x:c r="H101" s="1" t="s">
        <x:v>49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94</x:v>
      </x:c>
      <x:c r="G102" s="1" t="s">
        <x:v>20</x:v>
      </x:c>
      <x:c r="H102" s="1" t="s">
        <x:v>95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51</x:v>
      </x:c>
      <x:c r="G103" s="1" t="s">
        <x:v>20</x:v>
      </x:c>
      <x:c r="H103" s="1" t="s">
        <x:v>49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52</x:v>
      </x:c>
      <x:c r="G104" s="1" t="s">
        <x:v>20</x:v>
      </x:c>
      <x:c r="H104" s="1" t="s">
        <x:v>49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53</x:v>
      </x:c>
      <x:c r="G105" s="1" t="s">
        <x:v>20</x:v>
      </x:c>
      <x:c r="H105" s="1" t="s">
        <x:v>49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54</x:v>
      </x:c>
      <x:c r="G106" s="1" t="s">
        <x:v>20</x:v>
      </x:c>
      <x:c r="H106" s="1" t="s">
        <x:v>40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55</x:v>
      </x:c>
      <x:c r="G107" s="1" t="s">
        <x:v>20</x:v>
      </x:c>
      <x:c r="H107" s="1" t="s">
        <x:v>89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96</x:v>
      </x:c>
      <x:c r="B108" s="2" t="s">
        <x:v>18</x:v>
      </x:c>
      <x:c r="C108" s="2">
        <x:f>HYPERLINK("https://team-v23u.testit.software/projects/142/tests/522", " пустой email")</x:f>
      </x:c>
      <x:c r="D108" s="1" t="s">
        <x:v>19</x:v>
      </x:c>
      <x:c r="E108" s="1" t="s">
        <x:v>20</x:v>
      </x:c>
      <x:c r="F108" s="1" t="s">
        <x:v>20</x:v>
      </x:c>
      <x:c r="G108" s="1" t="s">
        <x:v>20</x:v>
      </x:c>
      <x:c r="H108" s="1" t="s">
        <x:v>20</x:v>
      </x:c>
      <x:c r="I108" s="1" t="s">
        <x:v>20</x:v>
      </x:c>
      <x:c r="J108" s="1" t="s">
        <x:v>20</x:v>
      </x:c>
      <x:c r="K108" s="1" t="s">
        <x:v>97</x:v>
      </x:c>
      <x:c r="L108" s="1" t="s">
        <x:v>33</x:v>
      </x:c>
      <x:c r="M108" s="1" t="s">
        <x:v>22</x:v>
      </x:c>
      <x:c r="N108" s="1" t="s">
        <x:v>98</x:v>
      </x:c>
      <x:c r="O108" s="1" t="s">
        <x:v>24</x:v>
      </x:c>
      <x:c r="P108" s="1" t="s">
        <x:v>86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76</x:v>
      </x:c>
      <x:c r="G109" s="1" t="s">
        <x:v>20</x:v>
      </x:c>
      <x:c r="H109" s="1" t="s">
        <x:v>77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80</x:v>
      </x:c>
      <x:c r="G110" s="1" t="s">
        <x:v>20</x:v>
      </x:c>
      <x:c r="H110" s="1" t="s">
        <x:v>29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30</x:v>
      </x:c>
      <x:c r="G111" s="1" t="s">
        <x:v>20</x:v>
      </x:c>
      <x:c r="H111" s="1" t="s">
        <x:v>31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93</x:v>
      </x:c>
      <x:c r="G112" s="1" t="s">
        <x:v>20</x:v>
      </x:c>
      <x:c r="H112" s="1" t="s">
        <x:v>49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99</x:v>
      </x:c>
      <x:c r="G113" s="1" t="s">
        <x:v>20</x:v>
      </x:c>
      <x:c r="H113" s="1" t="s">
        <x:v>49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100</x:v>
      </x:c>
      <x:c r="G114" s="1" t="s">
        <x:v>20</x:v>
      </x:c>
      <x:c r="H114" s="1" t="s">
        <x:v>101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52</x:v>
      </x:c>
      <x:c r="G115" s="1" t="s">
        <x:v>20</x:v>
      </x:c>
      <x:c r="H115" s="1" t="s">
        <x:v>49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53</x:v>
      </x:c>
      <x:c r="G116" s="1" t="s">
        <x:v>20</x:v>
      </x:c>
      <x:c r="H116" s="1" t="s">
        <x:v>49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54</x:v>
      </x:c>
      <x:c r="G117" s="1" t="s">
        <x:v>20</x:v>
      </x:c>
      <x:c r="H117" s="1" t="s">
        <x:v>40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55</x:v>
      </x:c>
      <x:c r="G118" s="1" t="s">
        <x:v>20</x:v>
      </x:c>
      <x:c r="H118" s="1" t="s">
        <x:v>89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102</x:v>
      </x:c>
      <x:c r="B119" s="2" t="s">
        <x:v>18</x:v>
      </x:c>
      <x:c r="C119" s="2">
        <x:f>HYPERLINK("https://team-v23u.testit.software/projects/142/tests/523", " пустой пароль")</x:f>
      </x:c>
      <x:c r="D119" s="1" t="s">
        <x:v>19</x:v>
      </x:c>
      <x:c r="E119" s="1" t="s">
        <x:v>20</x:v>
      </x:c>
      <x:c r="F119" s="1" t="s">
        <x:v>20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103</x:v>
      </x:c>
      <x:c r="L119" s="1" t="s">
        <x:v>33</x:v>
      </x:c>
      <x:c r="M119" s="1" t="s">
        <x:v>22</x:v>
      </x:c>
      <x:c r="N119" s="1" t="s">
        <x:v>104</x:v>
      </x:c>
      <x:c r="O119" s="1" t="s">
        <x:v>24</x:v>
      </x:c>
      <x:c r="P119" s="1" t="s">
        <x:v>86</x:v>
      </x:c>
      <x:c r="Q119" s="1" t="s">
        <x:v>105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76</x:v>
      </x:c>
      <x:c r="G120" s="1" t="s">
        <x:v>20</x:v>
      </x:c>
      <x:c r="H120" s="1" t="s">
        <x:v>77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80</x:v>
      </x:c>
      <x:c r="G121" s="1" t="s">
        <x:v>20</x:v>
      </x:c>
      <x:c r="H121" s="1" t="s">
        <x:v>29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30</x:v>
      </x:c>
      <x:c r="G122" s="1" t="s">
        <x:v>20</x:v>
      </x:c>
      <x:c r="H122" s="1" t="s">
        <x:v>31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93</x:v>
      </x:c>
      <x:c r="G123" s="1" t="s">
        <x:v>20</x:v>
      </x:c>
      <x:c r="H123" s="1" t="s">
        <x:v>49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99</x:v>
      </x:c>
      <x:c r="G124" s="1" t="s">
        <x:v>20</x:v>
      </x:c>
      <x:c r="H124" s="1" t="s">
        <x:v>49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106</x:v>
      </x:c>
      <x:c r="G125" s="1" t="s">
        <x:v>20</x:v>
      </x:c>
      <x:c r="H125" s="1" t="s">
        <x:v>49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107</x:v>
      </x:c>
      <x:c r="G126" s="1" t="s">
        <x:v>20</x:v>
      </x:c>
      <x:c r="H126" s="1" t="s">
        <x:v>108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109</x:v>
      </x:c>
      <x:c r="G127" s="1" t="s">
        <x:v>20</x:v>
      </x:c>
      <x:c r="H127" s="1" t="s">
        <x:v>49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54</x:v>
      </x:c>
      <x:c r="G128" s="1" t="s">
        <x:v>20</x:v>
      </x:c>
      <x:c r="H128" s="1" t="s">
        <x:v>40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55</x:v>
      </x:c>
      <x:c r="G129" s="1" t="s">
        <x:v>20</x:v>
      </x:c>
      <x:c r="H129" s="1" t="s">
        <x:v>89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110</x:v>
      </x:c>
      <x:c r="B130" s="2" t="s">
        <x:v>18</x:v>
      </x:c>
      <x:c r="C130" s="2">
        <x:f>HYPERLINK("https://team-v23u.testit.software/projects/142/tests/524", " пустой повторный пароль")</x:f>
      </x:c>
      <x:c r="D130" s="1" t="s">
        <x:v>19</x:v>
      </x:c>
      <x:c r="E130" s="1" t="s">
        <x:v>20</x:v>
      </x:c>
      <x:c r="F130" s="1" t="s">
        <x:v>20</x:v>
      </x:c>
      <x:c r="G130" s="1" t="s">
        <x:v>20</x:v>
      </x:c>
      <x:c r="H130" s="1" t="s">
        <x:v>20</x:v>
      </x:c>
      <x:c r="I130" s="1" t="s">
        <x:v>20</x:v>
      </x:c>
      <x:c r="J130" s="1" t="s">
        <x:v>20</x:v>
      </x:c>
      <x:c r="K130" s="1" t="s">
        <x:v>103</x:v>
      </x:c>
      <x:c r="L130" s="1" t="s">
        <x:v>33</x:v>
      </x:c>
      <x:c r="M130" s="1" t="s">
        <x:v>22</x:v>
      </x:c>
      <x:c r="N130" s="1" t="s">
        <x:v>111</x:v>
      </x:c>
      <x:c r="O130" s="1" t="s">
        <x:v>24</x:v>
      </x:c>
      <x:c r="P130" s="1" t="s">
        <x:v>86</x:v>
      </x:c>
      <x:c r="Q130" s="1" t="s">
        <x:v>105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76</x:v>
      </x:c>
      <x:c r="G131" s="1" t="s">
        <x:v>20</x:v>
      </x:c>
      <x:c r="H131" s="1" t="s">
        <x:v>77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80</x:v>
      </x:c>
      <x:c r="G132" s="1" t="s">
        <x:v>20</x:v>
      </x:c>
      <x:c r="H132" s="1" t="s">
        <x:v>29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30</x:v>
      </x:c>
      <x:c r="G133" s="1" t="s">
        <x:v>20</x:v>
      </x:c>
      <x:c r="H133" s="1" t="s">
        <x:v>31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93</x:v>
      </x:c>
      <x:c r="G134" s="1" t="s">
        <x:v>20</x:v>
      </x:c>
      <x:c r="H134" s="1" t="s">
        <x:v>49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99</x:v>
      </x:c>
      <x:c r="G135" s="1" t="s">
        <x:v>20</x:v>
      </x:c>
      <x:c r="H135" s="1" t="s">
        <x:v>49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106</x:v>
      </x:c>
      <x:c r="G136" s="1" t="s">
        <x:v>20</x:v>
      </x:c>
      <x:c r="H136" s="1" t="s">
        <x:v>49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112</x:v>
      </x:c>
      <x:c r="G137" s="1" t="s">
        <x:v>20</x:v>
      </x:c>
      <x:c r="H137" s="1" t="s">
        <x:v>49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20</x:v>
      </x:c>
      <x:c r="F138" s="1" t="s">
        <x:v>113</x:v>
      </x:c>
      <x:c r="G138" s="1" t="s">
        <x:v>20</x:v>
      </x:c>
      <x:c r="H138" s="1" t="s">
        <x:v>114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54</x:v>
      </x:c>
      <x:c r="G139" s="1" t="s">
        <x:v>20</x:v>
      </x:c>
      <x:c r="H139" s="1" t="s">
        <x:v>40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55</x:v>
      </x:c>
      <x:c r="G140" s="1" t="s">
        <x:v>20</x:v>
      </x:c>
      <x:c r="H140" s="1" t="s">
        <x:v>89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