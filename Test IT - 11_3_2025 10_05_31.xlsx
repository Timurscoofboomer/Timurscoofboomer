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46313386144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8c7b7c6448472991b7e0163044b5fe.psmdcp" Id="R3a0e1dbe42054b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9" i="1"/>
  <x:c r="C24" i="1"/>
  <x:c r="C29" i="1"/>
  <x:c r="C34" i="1"/>
  <x:c r="C39" i="1"/>
  <x:c r="C44" i="1"/>
  <x:c r="C49" i="1"/>
  <x:c r="C54" i="1"/>
  <x:c r="C59" i="1"/>
  <x:c r="C64" i="1"/>
  <x:c r="C69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<x:sst xmlns:x="http://schemas.openxmlformats.org/spreadsheetml/2006/main">
  <x:si>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</x:si>
  <x:si>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</x:si>
  <x:si>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</x:si>
  <x:si>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</x:si>
  <x:si>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</x:si>
  <x:si>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</x:si>
  <x:si>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</x:si>
  <x:si>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</x:si>
  <x:si>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</x:si>
  <x:si>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</x:si>
  <x:si>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</x:si>
  <x:si>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</x:si>
  <x:si>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</x:si>
  <x:si>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</x:si>
  <x:si>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</x:si>
  <x:si>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</x:si>
  <x:si>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</x:si>
  <x:si>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224</x:t>
  </x:si>
  <x:si>
    <x:t>стажировка -&gt; koula.kz</x:t>
  </x:si>
  <x:si>
    <x:t>Нет</x:t>
  </x:si>
  <x:si>
    <x:t/>
  </x:si>
  <x:si>
    <x:t>Средний</x:t>
  </x:si>
  <x:si>
    <x:t>Готов</x:t>
  </x:si>
  <x:si>
    <x:t>9/30/2025 10:12:04</x:t>
  </x:si>
  <x:si>
    <x:t>тимур гатауллин</x:t>
  </x:si>
  <x:si>
    <x:t>0h 0m 0s</x:t>
  </x:si>
  <x:si>
    <x:t>открыть сайт koula.kz</x:t>
  </x:si>
  <x:si>
    <x:t>сайт доступен</x:t>
  </x:si>
  <x:si>
    <x:t>225</x:t>
  </x:si>
  <x:si>
    <x:t>9/30/2025 10:16:56</x:t>
  </x:si>
  <x:si>
    <x:t>0h 1m 0s</x:t>
  </x:si>
  <x:si>
    <x:t>юзабилити</x:t>
  </x:si>
  <x:si>
    <x:t>навести курсор на логотип сайта</x:t>
  </x:si>
  <x:si>
    <x:t>курсор изменил форму</x:t>
  </x:si>
  <x:si>
    <x:t>кликнуть на логотип сайта</x:t>
  </x:si>
  <x:si>
    <x:t>открывается главная страница сайта</x:t>
  </x:si>
  <x:si>
    <x:t>226</x:t>
  </x:si>
  <x:si>
    <x:t>9/30/2025 10:30:11</x:t>
  </x:si>
  <x:si>
    <x:t>0h 10m 0s</x:t>
  </x:si>
  <x:si>
    <x:t>навести курсор на ссылку “О школе”</x:t>
  </x:si>
  <x:si>
    <x:t>курсор изменил форму, открылось выпадающее меню</x:t>
  </x:si>
  <x:si>
    <x:t>кликнуть на ссылку “О нас ” из выпавшего меню</x:t>
  </x:si>
  <x:si>
    <x:t>открывается новая страница в той же вкладке с рекламной информацией</x:t>
  </x:si>
  <x:si>
    <x:t>кликнуть на ссылку “Скидки и акции ” из выпавшего меню</x:t>
  </x:si>
  <x:si>
    <x:t>открывается новая страница в той же вкладке с  информацией о скидках и акциях</x:t>
  </x:si>
  <x:si>
    <x:t>кликнуть на ссылку “Вопрос-ответ ” из выпавшего меню</x:t>
  </x:si>
  <x:si>
    <x:t>открывается новая страница в той же вкладке с  FAQ</x:t>
  </x:si>
  <x:si>
    <x:t>кликнуть на ссылку “Документы ” из выпавшего меню</x:t>
  </x:si>
  <x:si>
    <x:t>открывается новая страница в той же вкладке с  инфой бюрократического характера</x:t>
  </x:si>
  <x:si>
    <x:t>навести курсор на ссылку “Прием в школу” в хедере</x:t>
  </x:si>
  <x:si>
    <x:t>кликнуть на ссылку “Прием в школу” в хедере</x:t>
  </x:si>
  <x:si>
    <x:t>открывается новая страница в той же вкладке с  формой для подачи заявления</x:t>
  </x:si>
  <x:si>
    <x:t>навести курсор на ссылку “Контакты” в хедере</x:t>
  </x:si>
  <x:si>
    <x:t>кликнуть на ссылку “Контакты”</x:t>
  </x:si>
  <x:si>
    <x:t>открывается новая страница в той же вкладке с контактной инфой</x:t>
  </x:si>
  <x:si>
    <x:t>227</x:t>
  </x:si>
  <x:si>
    <x:t>9/30/2025 10:33:01</x:t>
  </x:si>
  <x:si>
    <x:t>228</x:t>
  </x:si>
  <x:si>
    <x:t>9/30/2025 10:34:07</x:t>
  </x:si>
  <x:si>
    <x:t>кликнуть на ссылку “Скидки и акции” из выпавшего меню</x:t>
  </x:si>
  <x:si>
    <x:t>открывается новая страница в той же вкладке с  информацией о скидках</x:t>
  </x:si>
  <x:si>
    <x:t>229</x:t>
  </x:si>
  <x:si>
    <x:t>9/30/2025 10:34:47</x:t>
  </x:si>
  <x:si>
    <x:t>кликнуть на ссылку “Вопрос-ответ” из выпавшего меню</x:t>
  </x:si>
  <x:si>
    <x:t>открывается новая страница в той же вкладке с FAQ</x:t>
  </x:si>
  <x:si>
    <x:t>230</x:t>
  </x:si>
  <x:si>
    <x:t>9/30/2025 10:35:38</x:t>
  </x:si>
  <x:si>
    <x:t>кликнуть на ссылку “Документы” из выпавшего меню</x:t>
  </x:si>
  <x:si>
    <x:t>открывается новая страница в той же вкладке с инфой бюрократического характера</x:t>
  </x:si>
  <x:si>
    <x:t>231</x:t>
  </x:si>
  <x:si>
    <x:t>9/30/2025 10:38:24</x:t>
  </x:si>
  <x:si>
    <x:t>навести курсор на ссылку “прием в школу”</x:t>
  </x:si>
  <x:si>
    <x:t>кликнуть на ссылку “прием в школу ” из выпавшего меню</x:t>
  </x:si>
  <x:si>
    <x:t>открывается новая страница в той же вкладке с формой для заполнения для подачи заявления</x:t>
  </x:si>
  <x:si>
    <x:t>232</x:t>
  </x:si>
  <x:si>
    <x:t>9/30/2025 10:39:17</x:t>
  </x:si>
  <x:si>
    <x:t>навести курсор на ссылку “контакты”</x:t>
  </x:si>
  <x:si>
    <x:t>кликнуть на ссылку “контакты ” из выпавшего меню</x:t>
  </x:si>
  <x:si>
    <x:t>233</x:t>
  </x:si>
  <x:si>
    <x:t>9/30/2025 10:40:55</x:t>
  </x:si>
  <x:si>
    <x:t>навести курсор на ссылку с номером телефона в хедере</x:t>
  </x:si>
  <x:si>
    <x:t>кликнуть на ссылку с номером телефона</x:t>
  </x:si>
  <x:si>
    <x:t>ссылка не кликается</x:t>
  </x:si>
  <x:si>
    <x:t>234</x:t>
  </x:si>
  <x:si>
    <x:t>9/30/2025 10:42:43</x:t>
  </x:si>
  <x:si>
    <x:t>навести курсор на ссылку с логотипом whatsapp в хедере</x:t>
  </x:si>
  <x:si>
    <x:t>курсор изменил форму, у логотипа есть ховер-эффект</x:t>
  </x:si>
  <x:si>
    <x:t>кликнуть на ссылку с логотипом whatsapp в хедере</x:t>
  </x:si>
  <x:si>
    <x:t>открывается новая страница в той же вкладке для связи в ватсап с компанией сайта</x:t>
  </x:si>
  <x:si>
    <x:t>235</x:t>
  </x:si>
  <x:si>
    <x:t>9/30/2025 10:45:18</x:t>
  </x:si>
  <x:si>
    <x:t>навести курсор на ссылку с логотипом instagram в хедере</x:t>
  </x:si>
  <x:si>
    <x:t>кликнуть на ссылку с логотипом instagram в хедере</x:t>
  </x:si>
  <x:si>
    <x:t>открывается новая страница в той же вкладке инстаграм аккаунтом компании сайта</x:t>
  </x:si>
  <x:si>
    <x:t>236</x:t>
  </x:si>
  <x:si>
    <x:t>9/30/2025 10:46:01</x:t>
  </x:si>
  <x:si>
    <x:t>навести курсор на ссылку с логотипом тикток в хедере</x:t>
  </x:si>
  <x:si>
    <x:t>кликнуть на ссылку с логотипом тикток в хедере</x:t>
  </x:si>
  <x:si>
    <x:t>открывается новая страница в той же вкладке с тикток аккаунтом компании сайта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</x:si>
</x:sst>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73" totalsRowShown="0">
  <x:autoFilter ref="A1:Q73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3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1.996339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1.139196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HYPERLINK("https://team-v23u.testit.software/projects/142/tests/224", "открытие")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HYPERLINK("https://team-v23u.testit.software/projects/142/tests/225", "лого")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30</x:v>
      </x:c>
      <x:c r="Q4" s="1" t="s">
        <x:v>31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26</x:v>
      </x:c>
      <x:c r="G6" s="1" t="s">
        <x:v>20</x:v>
      </x:c>
      <x:c r="H6" s="1" t="s">
        <x:v>27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32</x:v>
      </x:c>
      <x:c r="G7" s="1" t="s">
        <x:v>20</x:v>
      </x:c>
      <x:c r="H7" s="1" t="s">
        <x:v>33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34</x:v>
      </x:c>
      <x:c r="G8" s="1" t="s">
        <x:v>20</x:v>
      </x:c>
      <x:c r="H8" s="1" t="s">
        <x:v>35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36</x:v>
      </x:c>
      <x:c r="B9" s="2" t="s">
        <x:v>18</x:v>
      </x:c>
      <x:c r="C9" s="2">
        <x:f>HYPERLINK("https://team-v23u.testit.software/projects/142/tests/226", "ШКОЛА (общий) ")</x:f>
      </x:c>
      <x:c r="D9" s="1" t="s">
        <x:v>19</x:v>
      </x:c>
      <x:c r="E9" s="1" t="s">
        <x:v>20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21</x:v>
      </x:c>
      <x:c r="M9" s="1" t="s">
        <x:v>22</x:v>
      </x:c>
      <x:c r="N9" s="1" t="s">
        <x:v>37</x:v>
      </x:c>
      <x:c r="O9" s="1" t="s">
        <x:v>24</x:v>
      </x:c>
      <x:c r="P9" s="1" t="s">
        <x:v>38</x:v>
      </x:c>
      <x:c r="Q9" s="1" t="s">
        <x:v>31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26</x:v>
      </x:c>
      <x:c r="G11" s="1" t="s">
        <x:v>20</x:v>
      </x:c>
      <x:c r="H11" s="1" t="s">
        <x:v>27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39</x:v>
      </x:c>
      <x:c r="G12" s="1" t="s">
        <x:v>20</x:v>
      </x:c>
      <x:c r="H12" s="1" t="s">
        <x:v>40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41</x:v>
      </x:c>
      <x:c r="G13" s="1" t="s">
        <x:v>20</x:v>
      </x:c>
      <x:c r="H13" s="1" t="s">
        <x:v>42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39</x:v>
      </x:c>
      <x:c r="G14" s="1" t="s">
        <x:v>20</x:v>
      </x:c>
      <x:c r="H14" s="1" t="s">
        <x:v>40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43</x:v>
      </x:c>
      <x:c r="G15" s="1" t="s">
        <x:v>20</x:v>
      </x:c>
      <x:c r="H15" s="1" t="s">
        <x:v>44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39</x:v>
      </x:c>
      <x:c r="G16" s="1" t="s">
        <x:v>20</x:v>
      </x:c>
      <x:c r="H16" s="1" t="s">
        <x:v>40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45</x:v>
      </x:c>
      <x:c r="G17" s="1" t="s">
        <x:v>20</x:v>
      </x:c>
      <x:c r="H17" s="1" t="s">
        <x:v>46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39</x:v>
      </x:c>
      <x:c r="G18" s="1" t="s">
        <x:v>20</x:v>
      </x:c>
      <x:c r="H18" s="1" t="s">
        <x:v>40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47</x:v>
      </x:c>
      <x:c r="G19" s="1" t="s">
        <x:v>20</x:v>
      </x:c>
      <x:c r="H19" s="1" t="s">
        <x:v>48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49</x:v>
      </x:c>
      <x:c r="G20" s="1" t="s">
        <x:v>20</x:v>
      </x:c>
      <x:c r="H20" s="1" t="s">
        <x:v>33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50</x:v>
      </x:c>
      <x:c r="G21" s="1" t="s">
        <x:v>20</x:v>
      </x:c>
      <x:c r="H21" s="1" t="s">
        <x:v>51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52</x:v>
      </x:c>
      <x:c r="G22" s="1" t="s">
        <x:v>20</x:v>
      </x:c>
      <x:c r="H22" s="1" t="s">
        <x:v>33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53</x:v>
      </x:c>
      <x:c r="G23" s="1" t="s">
        <x:v>20</x:v>
      </x:c>
      <x:c r="H23" s="1" t="s">
        <x:v>54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55</x:v>
      </x:c>
      <x:c r="B24" s="2" t="s">
        <x:v>18</x:v>
      </x:c>
      <x:c r="C24" s="2">
        <x:f>HYPERLINK("https://team-v23u.testit.software/projects/142/tests/227", "о школе о нас")</x:f>
      </x:c>
      <x:c r="D24" s="1" t="s">
        <x:v>19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21</x:v>
      </x:c>
      <x:c r="M24" s="1" t="s">
        <x:v>22</x:v>
      </x:c>
      <x:c r="N24" s="1" t="s">
        <x:v>56</x:v>
      </x:c>
      <x:c r="O24" s="1" t="s">
        <x:v>24</x:v>
      </x:c>
      <x:c r="P24" s="1" t="s">
        <x:v>30</x:v>
      </x:c>
      <x:c r="Q24" s="1" t="s">
        <x:v>31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26</x:v>
      </x:c>
      <x:c r="G26" s="1" t="s">
        <x:v>20</x:v>
      </x:c>
      <x:c r="H26" s="1" t="s">
        <x:v>27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39</x:v>
      </x:c>
      <x:c r="G27" s="1" t="s">
        <x:v>20</x:v>
      </x:c>
      <x:c r="H27" s="1" t="s">
        <x:v>40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41</x:v>
      </x:c>
      <x:c r="G28" s="1" t="s">
        <x:v>20</x:v>
      </x:c>
      <x:c r="H28" s="1" t="s">
        <x:v>42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57</x:v>
      </x:c>
      <x:c r="B29" s="2" t="s">
        <x:v>18</x:v>
      </x:c>
      <x:c r="C29" s="2">
        <x:f>HYPERLINK("https://team-v23u.testit.software/projects/142/tests/228", " о школе скидки")</x:f>
      </x:c>
      <x:c r="D29" s="1" t="s">
        <x:v>19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21</x:v>
      </x:c>
      <x:c r="M29" s="1" t="s">
        <x:v>22</x:v>
      </x:c>
      <x:c r="N29" s="1" t="s">
        <x:v>58</x:v>
      </x:c>
      <x:c r="O29" s="1" t="s">
        <x:v>24</x:v>
      </x:c>
      <x:c r="P29" s="1" t="s">
        <x:v>30</x:v>
      </x:c>
      <x:c r="Q29" s="1" t="s">
        <x:v>31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20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26</x:v>
      </x:c>
      <x:c r="G31" s="1" t="s">
        <x:v>20</x:v>
      </x:c>
      <x:c r="H31" s="1" t="s">
        <x:v>27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39</x:v>
      </x:c>
      <x:c r="G32" s="1" t="s">
        <x:v>20</x:v>
      </x:c>
      <x:c r="H32" s="1" t="s">
        <x:v>40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59</x:v>
      </x:c>
      <x:c r="G33" s="1" t="s">
        <x:v>20</x:v>
      </x:c>
      <x:c r="H33" s="1" t="s">
        <x:v>60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61</x:v>
      </x:c>
      <x:c r="B34" s="2" t="s">
        <x:v>18</x:v>
      </x:c>
      <x:c r="C34" s="2">
        <x:f>HYPERLINK("https://team-v23u.testit.software/projects/142/tests/229", "о школе скидки")</x:f>
      </x:c>
      <x:c r="D34" s="1" t="s">
        <x:v>19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21</x:v>
      </x:c>
      <x:c r="M34" s="1" t="s">
        <x:v>22</x:v>
      </x:c>
      <x:c r="N34" s="1" t="s">
        <x:v>62</x:v>
      </x:c>
      <x:c r="O34" s="1" t="s">
        <x:v>24</x:v>
      </x:c>
      <x:c r="P34" s="1" t="s">
        <x:v>30</x:v>
      </x:c>
      <x:c r="Q34" s="1" t="s">
        <x:v>31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20</x:v>
      </x:c>
      <x:c r="G35" s="1" t="s">
        <x:v>20</x:v>
      </x:c>
      <x:c r="H35" s="1" t="s">
        <x:v>20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26</x:v>
      </x:c>
      <x:c r="G36" s="1" t="s">
        <x:v>20</x:v>
      </x:c>
      <x:c r="H36" s="1" t="s">
        <x:v>27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39</x:v>
      </x:c>
      <x:c r="G37" s="1" t="s">
        <x:v>20</x:v>
      </x:c>
      <x:c r="H37" s="1" t="s">
        <x:v>40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63</x:v>
      </x:c>
      <x:c r="G38" s="1" t="s">
        <x:v>20</x:v>
      </x:c>
      <x:c r="H38" s="1" t="s">
        <x:v>64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65</x:v>
      </x:c>
      <x:c r="B39" s="2" t="s">
        <x:v>18</x:v>
      </x:c>
      <x:c r="C39" s="2">
        <x:f>HYPERLINK("https://team-v23u.testit.software/projects/142/tests/230", " о школе Документы")</x:f>
      </x:c>
      <x:c r="D39" s="1" t="s">
        <x:v>19</x:v>
      </x:c>
      <x:c r="E39" s="1" t="s">
        <x:v>20</x:v>
      </x:c>
      <x:c r="F39" s="1" t="s">
        <x:v>20</x:v>
      </x:c>
      <x:c r="G39" s="1" t="s">
        <x:v>20</x:v>
      </x:c>
      <x:c r="H39" s="1" t="s">
        <x:v>20</x:v>
      </x:c>
      <x:c r="I39" s="1" t="s">
        <x:v>20</x:v>
      </x:c>
      <x:c r="J39" s="1" t="s">
        <x:v>20</x:v>
      </x:c>
      <x:c r="K39" s="1" t="s">
        <x:v>20</x:v>
      </x:c>
      <x:c r="L39" s="1" t="s">
        <x:v>21</x:v>
      </x:c>
      <x:c r="M39" s="1" t="s">
        <x:v>22</x:v>
      </x:c>
      <x:c r="N39" s="1" t="s">
        <x:v>66</x:v>
      </x:c>
      <x:c r="O39" s="1" t="s">
        <x:v>24</x:v>
      </x:c>
      <x:c r="P39" s="1" t="s">
        <x:v>30</x:v>
      </x:c>
      <x:c r="Q39" s="1" t="s">
        <x:v>31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20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26</x:v>
      </x:c>
      <x:c r="G41" s="1" t="s">
        <x:v>20</x:v>
      </x:c>
      <x:c r="H41" s="1" t="s">
        <x:v>27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39</x:v>
      </x:c>
      <x:c r="G42" s="1" t="s">
        <x:v>20</x:v>
      </x:c>
      <x:c r="H42" s="1" t="s">
        <x:v>40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67</x:v>
      </x:c>
      <x:c r="G43" s="1" t="s">
        <x:v>20</x:v>
      </x:c>
      <x:c r="H43" s="1" t="s">
        <x:v>68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69</x:v>
      </x:c>
      <x:c r="B44" s="2" t="s">
        <x:v>18</x:v>
      </x:c>
      <x:c r="C44" s="2">
        <x:f>HYPERLINK("https://team-v23u.testit.software/projects/142/tests/231", "прием в школу")</x:f>
      </x:c>
      <x:c r="D44" s="1" t="s">
        <x:v>19</x:v>
      </x:c>
      <x:c r="E44" s="1" t="s">
        <x:v>20</x:v>
      </x:c>
      <x:c r="F44" s="1" t="s">
        <x:v>20</x:v>
      </x:c>
      <x:c r="G44" s="1" t="s">
        <x:v>20</x:v>
      </x:c>
      <x:c r="H44" s="1" t="s">
        <x:v>20</x:v>
      </x:c>
      <x:c r="I44" s="1" t="s">
        <x:v>20</x:v>
      </x:c>
      <x:c r="J44" s="1" t="s">
        <x:v>20</x:v>
      </x:c>
      <x:c r="K44" s="1" t="s">
        <x:v>20</x:v>
      </x:c>
      <x:c r="L44" s="1" t="s">
        <x:v>21</x:v>
      </x:c>
      <x:c r="M44" s="1" t="s">
        <x:v>22</x:v>
      </x:c>
      <x:c r="N44" s="1" t="s">
        <x:v>70</x:v>
      </x:c>
      <x:c r="O44" s="1" t="s">
        <x:v>24</x:v>
      </x:c>
      <x:c r="P44" s="1" t="s">
        <x:v>30</x:v>
      </x:c>
      <x:c r="Q44" s="1" t="s">
        <x:v>31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20</x:v>
      </x:c>
      <x:c r="G45" s="1" t="s">
        <x:v>20</x:v>
      </x:c>
      <x:c r="H45" s="1" t="s">
        <x:v>20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26</x:v>
      </x:c>
      <x:c r="G46" s="1" t="s">
        <x:v>20</x:v>
      </x:c>
      <x:c r="H46" s="1" t="s">
        <x:v>27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71</x:v>
      </x:c>
      <x:c r="G47" s="1" t="s">
        <x:v>20</x:v>
      </x:c>
      <x:c r="H47" s="1" t="s">
        <x:v>33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72</x:v>
      </x:c>
      <x:c r="G48" s="1" t="s">
        <x:v>20</x:v>
      </x:c>
      <x:c r="H48" s="1" t="s">
        <x:v>73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74</x:v>
      </x:c>
      <x:c r="B49" s="2" t="s">
        <x:v>18</x:v>
      </x:c>
      <x:c r="C49" s="2">
        <x:f>HYPERLINK("https://team-v23u.testit.software/projects/142/tests/232", "контакты")</x:f>
      </x:c>
      <x:c r="D49" s="1" t="s">
        <x:v>19</x:v>
      </x:c>
      <x:c r="E49" s="1" t="s">
        <x:v>20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21</x:v>
      </x:c>
      <x:c r="M49" s="1" t="s">
        <x:v>22</x:v>
      </x:c>
      <x:c r="N49" s="1" t="s">
        <x:v>75</x:v>
      </x:c>
      <x:c r="O49" s="1" t="s">
        <x:v>24</x:v>
      </x:c>
      <x:c r="P49" s="1" t="s">
        <x:v>30</x:v>
      </x:c>
      <x:c r="Q49" s="1" t="s">
        <x:v>31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20</x:v>
      </x:c>
      <x:c r="G50" s="1" t="s">
        <x:v>20</x:v>
      </x:c>
      <x:c r="H50" s="1" t="s">
        <x:v>20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26</x:v>
      </x:c>
      <x:c r="G51" s="1" t="s">
        <x:v>20</x:v>
      </x:c>
      <x:c r="H51" s="1" t="s">
        <x:v>27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76</x:v>
      </x:c>
      <x:c r="G52" s="1" t="s">
        <x:v>20</x:v>
      </x:c>
      <x:c r="H52" s="1" t="s">
        <x:v>33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77</x:v>
      </x:c>
      <x:c r="G53" s="1" t="s">
        <x:v>20</x:v>
      </x:c>
      <x:c r="H53" s="1" t="s">
        <x:v>54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78</x:v>
      </x:c>
      <x:c r="B54" s="2" t="s">
        <x:v>18</x:v>
      </x:c>
      <x:c r="C54" s="2">
        <x:f>HYPERLINK("https://team-v23u.testit.software/projects/142/tests/233", "номер телефона")</x:f>
      </x:c>
      <x:c r="D54" s="1" t="s">
        <x:v>19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21</x:v>
      </x:c>
      <x:c r="M54" s="1" t="s">
        <x:v>22</x:v>
      </x:c>
      <x:c r="N54" s="1" t="s">
        <x:v>79</x:v>
      </x:c>
      <x:c r="O54" s="1" t="s">
        <x:v>24</x:v>
      </x:c>
      <x:c r="P54" s="1" t="s">
        <x:v>30</x:v>
      </x:c>
      <x:c r="Q54" s="1" t="s">
        <x:v>31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20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26</x:v>
      </x:c>
      <x:c r="G56" s="1" t="s">
        <x:v>20</x:v>
      </x:c>
      <x:c r="H56" s="1" t="s">
        <x:v>27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80</x:v>
      </x:c>
      <x:c r="G57" s="1" t="s">
        <x:v>20</x:v>
      </x:c>
      <x:c r="H57" s="1" t="s">
        <x:v>33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81</x:v>
      </x:c>
      <x:c r="G58" s="1" t="s">
        <x:v>20</x:v>
      </x:c>
      <x:c r="H58" s="1" t="s">
        <x:v>82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83</x:v>
      </x:c>
      <x:c r="B59" s="2" t="s">
        <x:v>18</x:v>
      </x:c>
      <x:c r="C59" s="2">
        <x:f>HYPERLINK("https://team-v23u.testit.software/projects/142/tests/234", "ватсап")</x:f>
      </x:c>
      <x:c r="D59" s="1" t="s">
        <x:v>19</x:v>
      </x:c>
      <x:c r="E59" s="1" t="s">
        <x:v>20</x:v>
      </x:c>
      <x:c r="F59" s="1" t="s">
        <x:v>20</x:v>
      </x:c>
      <x:c r="G59" s="1" t="s">
        <x:v>20</x:v>
      </x:c>
      <x:c r="H59" s="1" t="s">
        <x:v>20</x:v>
      </x:c>
      <x:c r="I59" s="1" t="s">
        <x:v>20</x:v>
      </x:c>
      <x:c r="J59" s="1" t="s">
        <x:v>20</x:v>
      </x:c>
      <x:c r="K59" s="1" t="s">
        <x:v>20</x:v>
      </x:c>
      <x:c r="L59" s="1" t="s">
        <x:v>21</x:v>
      </x:c>
      <x:c r="M59" s="1" t="s">
        <x:v>22</x:v>
      </x:c>
      <x:c r="N59" s="1" t="s">
        <x:v>84</x:v>
      </x:c>
      <x:c r="O59" s="1" t="s">
        <x:v>24</x:v>
      </x:c>
      <x:c r="P59" s="1" t="s">
        <x:v>30</x:v>
      </x:c>
      <x:c r="Q59" s="1" t="s">
        <x:v>31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26</x:v>
      </x:c>
      <x:c r="G61" s="1" t="s">
        <x:v>20</x:v>
      </x:c>
      <x:c r="H61" s="1" t="s">
        <x:v>27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85</x:v>
      </x:c>
      <x:c r="G62" s="1" t="s">
        <x:v>20</x:v>
      </x:c>
      <x:c r="H62" s="1" t="s">
        <x:v>86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87</x:v>
      </x:c>
      <x:c r="G63" s="1" t="s">
        <x:v>20</x:v>
      </x:c>
      <x:c r="H63" s="1" t="s">
        <x:v>88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89</x:v>
      </x:c>
      <x:c r="B64" s="2" t="s">
        <x:v>18</x:v>
      </x:c>
      <x:c r="C64" s="2">
        <x:f>HYPERLINK("https://team-v23u.testit.software/projects/142/tests/235", "инста")</x:f>
      </x:c>
      <x:c r="D64" s="1" t="s">
        <x:v>19</x:v>
      </x:c>
      <x:c r="E64" s="1" t="s">
        <x:v>20</x:v>
      </x:c>
      <x:c r="F64" s="1" t="s">
        <x:v>20</x:v>
      </x:c>
      <x:c r="G64" s="1" t="s">
        <x:v>20</x:v>
      </x:c>
      <x:c r="H64" s="1" t="s">
        <x:v>20</x:v>
      </x:c>
      <x:c r="I64" s="1" t="s">
        <x:v>20</x:v>
      </x:c>
      <x:c r="J64" s="1" t="s">
        <x:v>20</x:v>
      </x:c>
      <x:c r="K64" s="1" t="s">
        <x:v>20</x:v>
      </x:c>
      <x:c r="L64" s="1" t="s">
        <x:v>21</x:v>
      </x:c>
      <x:c r="M64" s="1" t="s">
        <x:v>22</x:v>
      </x:c>
      <x:c r="N64" s="1" t="s">
        <x:v>90</x:v>
      </x:c>
      <x:c r="O64" s="1" t="s">
        <x:v>24</x:v>
      </x:c>
      <x:c r="P64" s="1" t="s">
        <x:v>30</x:v>
      </x:c>
      <x:c r="Q64" s="1" t="s">
        <x:v>31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20</x:v>
      </x:c>
      <x:c r="G65" s="1" t="s">
        <x:v>20</x:v>
      </x:c>
      <x:c r="H65" s="1" t="s">
        <x:v>20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26</x:v>
      </x:c>
      <x:c r="G66" s="1" t="s">
        <x:v>20</x:v>
      </x:c>
      <x:c r="H66" s="1" t="s">
        <x:v>27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91</x:v>
      </x:c>
      <x:c r="G67" s="1" t="s">
        <x:v>20</x:v>
      </x:c>
      <x:c r="H67" s="1" t="s">
        <x:v>86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92</x:v>
      </x:c>
      <x:c r="G68" s="1" t="s">
        <x:v>20</x:v>
      </x:c>
      <x:c r="H68" s="1" t="s">
        <x:v>93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94</x:v>
      </x:c>
      <x:c r="B69" s="2" t="s">
        <x:v>18</x:v>
      </x:c>
      <x:c r="C69" s="2">
        <x:f>HYPERLINK("https://team-v23u.testit.software/projects/142/tests/236", "тикток")</x:f>
      </x:c>
      <x:c r="D69" s="1" t="s">
        <x:v>19</x:v>
      </x:c>
      <x:c r="E69" s="1" t="s">
        <x:v>20</x:v>
      </x:c>
      <x:c r="F69" s="1" t="s">
        <x:v>20</x:v>
      </x:c>
      <x:c r="G69" s="1" t="s">
        <x:v>20</x:v>
      </x:c>
      <x:c r="H69" s="1" t="s">
        <x:v>20</x:v>
      </x:c>
      <x:c r="I69" s="1" t="s">
        <x:v>20</x:v>
      </x:c>
      <x:c r="J69" s="1" t="s">
        <x:v>20</x:v>
      </x:c>
      <x:c r="K69" s="1" t="s">
        <x:v>20</x:v>
      </x:c>
      <x:c r="L69" s="1" t="s">
        <x:v>21</x:v>
      </x:c>
      <x:c r="M69" s="1" t="s">
        <x:v>22</x:v>
      </x:c>
      <x:c r="N69" s="1" t="s">
        <x:v>95</x:v>
      </x:c>
      <x:c r="O69" s="1" t="s">
        <x:v>24</x:v>
      </x:c>
      <x:c r="P69" s="1" t="s">
        <x:v>30</x:v>
      </x:c>
      <x:c r="Q69" s="1" t="s">
        <x:v>31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20</x:v>
      </x:c>
      <x:c r="G70" s="1" t="s">
        <x:v>20</x:v>
      </x:c>
      <x:c r="H70" s="1" t="s">
        <x:v>20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26</x:v>
      </x:c>
      <x:c r="G71" s="1" t="s">
        <x:v>20</x:v>
      </x:c>
      <x:c r="H71" s="1" t="s">
        <x:v>27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96</x:v>
      </x:c>
      <x:c r="G72" s="1" t="s">
        <x:v>20</x:v>
      </x:c>
      <x:c r="H72" s="1" t="s">
        <x:v>86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97</x:v>
      </x:c>
      <x:c r="G73" s="1" t="s">
        <x:v>20</x:v>
      </x:c>
      <x:c r="H73" s="1" t="s">
        <x:v>98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