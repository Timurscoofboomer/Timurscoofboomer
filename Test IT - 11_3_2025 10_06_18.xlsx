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a506456e145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f223474bfe429fab0d90ec8134db97.psmdcp" Id="Rfd27926fbde743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4" i="1"/>
  <x:c r="C8" i="1"/>
  <x:c r="C12" i="1"/>
  <x:c r="C16" i="1"/>
  <x:c r="C20" i="1"/>
  <x:c r="C24" i="1"/>
  <x:c r="C28" i="1"/>
  <x:c r="C32" i="1"/>
  <x:c r="C35" i="1"/>
  <x:c r="C38" i="1"/>
  <x:c r="C41" i="1"/>
  <x:c r="C46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<x:sst xmlns:x="http://schemas.openxmlformats.org/spreadsheetml/2006/main">
  <x:si>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</x:si>
  <x:si>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</x:si>
  <x:si>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</x:si>
  <x:si>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</x:si>
  <x:si>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</x:si>
  <x:si>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</x:si>
  <x:si>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</x:si>
  <x:si>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</x:si>
  <x:si>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</x:si>
  <x:si>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</x:si>
  <x:si>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</x:si>
  <x:si>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</x:si>
  <x:si>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</x:si>
  <x:si>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</x:si>
  <x:si>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</x:si>
  <x:si>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</x:si>
  <x:si>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</x:si>
  <x:si>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336</x:t>
  </x:si>
  <x:si>
    <x:t>стажировка -&gt; autozest.ru</x:t>
  </x:si>
  <x:si>
    <x:t>Нет</x:t>
  </x:si>
  <x:si>
    <x:t/>
  </x:si>
  <x:si>
    <x:t>Средний</x:t>
  </x:si>
  <x:si>
    <x:t>Готов</x:t>
  </x:si>
  <x:si>
    <x:t>10/1/2025 11:24:12</x:t>
  </x:si>
  <x:si>
    <x:t>тимур гатауллин</x:t>
  </x:si>
  <x:si>
    <x:t>0h 0m 0s</x:t>
  </x:si>
  <x:si>
    <x:t>открыть сайт autozest.ru</x:t>
  </x:si>
  <x:si>
    <x:t>сайт открыт</x:t>
  </x:si>
  <x:si>
    <x:t>337</x:t>
  </x:si>
  <x:si>
    <x:t>10/1/2025 11:26:40</x:t>
  </x:si>
  <x:si>
    <x:t>0h 1m 0s</x:t>
  </x:si>
  <x:si>
    <x:t>ввести в поисковой строке название существующего в каталоге товара. например масло</x:t>
  </x:si>
  <x:si>
    <x:t>появилось автозаполнение</x:t>
  </x:si>
  <x:si>
    <x:t>нажать Enter</x:t>
  </x:si>
  <x:si>
    <x:t>открылись товары по введенному запросу</x:t>
  </x:si>
  <x:si>
    <x:t>338</x:t>
  </x:si>
  <x:si>
    <x:t>10/1/2025 11:31:04</x:t>
  </x:si>
  <x:si>
    <x:t>кликнуть “Найти”</x:t>
  </x:si>
  <x:si>
    <x:t>339</x:t>
  </x:si>
  <x:si>
    <x:t>10/1/2025 11:32:40</x:t>
  </x:si>
  <x:si>
    <x:t>набрать в поисковой строке название существующего в каталоге товара. например лампа</x:t>
  </x:si>
  <x:si>
    <x:t>нажать Enter или кликнуть Найти</x:t>
  </x:si>
  <x:si>
    <x:t>340</x:t>
  </x:si>
  <x:si>
    <x:t>10/1/2025 11:34:40</x:t>
  </x:si>
  <x:si>
    <x:t>набрать в поисковой строке первые три буквы существующего в каталоге товара. наприме, мас</x:t>
  </x:si>
  <x:si>
    <x:t>341</x:t>
  </x:si>
  <x:si>
    <x:t>10/1/2025 11:35:08</x:t>
  </x:si>
  <x:si>
    <x:t>набрать в поисковой строке первые три буквы существующего в каталоге товара. например, лам</x:t>
  </x:si>
  <x:si>
    <x:t>342</x:t>
  </x:si>
  <x:si>
    <x:t>10/1/2025 11:35:48</x:t>
  </x:si>
  <x:si>
    <x:t>набрать в поисковой строке первые 4 буквы существующего в каталоге товара. например, масл</x:t>
  </x:si>
  <x:si>
    <x:t>343</x:t>
  </x:si>
  <x:si>
    <x:t>10/1/2025 11:36:55</x:t>
  </x:si>
  <x:si>
    <x:t>набрать в поисковой строке первые 5 букв существующего в каталоге товара. например, жидко</x:t>
  </x:si>
  <x:si>
    <x:t>344</x:t>
  </x:si>
  <x:si>
    <x:t>10/1/2025 11:41:24</x:t>
  </x:si>
  <x:si>
    <x:t>ввести пустой поисковый запрос</x:t>
  </x:si>
  <x:si>
    <x:t>ничего не происходит</x:t>
  </x:si>
  <x:si>
    <x:t>345</x:t>
  </x:si>
  <x:si>
    <x:t>10/1/2025 11:41:50</x:t>
  </x:si>
  <x:si>
    <x:t>ввести пробелы в поисковую строку</x:t>
  </x:si>
  <x:si>
    <x:t>346</x:t>
  </x:si>
  <x:si>
    <x:t>10/1/2025 11:42:35</x:t>
  </x:si>
  <x:si>
    <x:t>ввести несуществующее слово в поисковую строку</x:t>
  </x:si>
  <x:si>
    <x:t>товар не наден</x:t>
  </x:si>
  <x:si>
    <x:t>347</x:t>
  </x:si>
  <x:si>
    <x:t>Не готов</x:t>
  </x:si>
  <x:si>
    <x:t>10/1/2025 11:48:14</x:t>
  </x:si>
  <x:si>
    <x:t>в каталоге выбрать категорию “Аккумуляторы”</x:t>
  </x:si>
  <x:si>
    <x:t>открывается страница с карточками аккумуляторов</x:t>
  </x:si>
  <x:si>
    <x:t>ввести в поисковую строку “Аккумулятор”</x:t>
  </x:si>
  <x:si>
    <x:t>открывается список по введенному запросу</x:t>
  </x:si>
  <x:si>
    <x:t>сравнить ожидаемые результаты шага 2 и 3</x:t>
  </x:si>
  <x:si>
    <x:t>количества товаров при поиске через каталог и при введении поискового запроса должны совпадать</x:t>
  </x:si>
  <x:si>
    <x:t>348</x:t>
  </x:si>
  <x:si>
    <x:t>10/1/2025 11:55:08</x:t>
  </x:si>
  <x:si>
    <x:t>в каталоге выбрать открыть страницу товара из любой категории. Например, Категория “Наборы инструментов” - товар “Дело Техники 563090”</x:t>
  </x:si>
  <x:si>
    <x:t>открывается страница товара</x:t>
  </x:si>
  <x:si>
    <x:t>скопировать название товара, ввести в поисковую строку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</x:si>
</x:sst>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49" totalsRowShown="0">
  <x:autoFilter ref="A1:Q49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9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4.996339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HYPERLINK("https://team-v23u.testit.software/projects/142/tests/336", "старт")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28</x:v>
      </x:c>
      <x:c r="B4" s="2" t="s">
        <x:v>18</x:v>
      </x:c>
      <x:c r="C4" s="2">
        <x:f>HYPERLINK("https://team-v23u.testit.software/projects/142/tests/337", "масло-enter")</x:f>
      </x:c>
      <x:c r="D4" s="1" t="s">
        <x:v>19</x:v>
      </x:c>
      <x:c r="E4" s="1" t="s">
        <x:v>20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21</x:v>
      </x:c>
      <x:c r="M4" s="1" t="s">
        <x:v>22</x:v>
      </x:c>
      <x:c r="N4" s="1" t="s">
        <x:v>29</x:v>
      </x:c>
      <x:c r="O4" s="1" t="s">
        <x:v>24</x:v>
      </x:c>
      <x:c r="P4" s="1" t="s">
        <x:v>30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26</x:v>
      </x:c>
      <x:c r="G5" s="1" t="s">
        <x:v>20</x:v>
      </x:c>
      <x:c r="H5" s="1" t="s">
        <x:v>27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31</x:v>
      </x:c>
      <x:c r="G6" s="1" t="s">
        <x:v>20</x:v>
      </x:c>
      <x:c r="H6" s="1" t="s">
        <x:v>32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33</x:v>
      </x:c>
      <x:c r="G7" s="1" t="s">
        <x:v>20</x:v>
      </x:c>
      <x:c r="H7" s="1" t="s">
        <x:v>34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35</x:v>
      </x:c>
      <x:c r="B8" s="2" t="s">
        <x:v>18</x:v>
      </x:c>
      <x:c r="C8" s="2">
        <x:f>HYPERLINK("https://team-v23u.testit.software/projects/142/tests/338", " масло-найти")</x:f>
      </x:c>
      <x:c r="D8" s="1" t="s">
        <x:v>19</x:v>
      </x:c>
      <x:c r="E8" s="1" t="s">
        <x:v>20</x:v>
      </x:c>
      <x:c r="F8" s="1" t="s">
        <x:v>20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21</x:v>
      </x:c>
      <x:c r="M8" s="1" t="s">
        <x:v>22</x:v>
      </x:c>
      <x:c r="N8" s="1" t="s">
        <x:v>36</x:v>
      </x:c>
      <x:c r="O8" s="1" t="s">
        <x:v>24</x:v>
      </x:c>
      <x:c r="P8" s="1" t="s">
        <x:v>30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26</x:v>
      </x:c>
      <x:c r="G9" s="1" t="s">
        <x:v>20</x:v>
      </x:c>
      <x:c r="H9" s="1" t="s">
        <x:v>27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31</x:v>
      </x:c>
      <x:c r="G10" s="1" t="s">
        <x:v>20</x:v>
      </x:c>
      <x:c r="H10" s="1" t="s">
        <x:v>32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37</x:v>
      </x:c>
      <x:c r="G11" s="1" t="s">
        <x:v>20</x:v>
      </x:c>
      <x:c r="H11" s="1" t="s">
        <x:v>34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38</x:v>
      </x:c>
      <x:c r="B12" s="2" t="s">
        <x:v>18</x:v>
      </x:c>
      <x:c r="C12" s="2">
        <x:f>HYPERLINK("https://team-v23u.testit.software/projects/142/tests/339", "лампа")</x:f>
      </x:c>
      <x:c r="D12" s="1" t="s">
        <x:v>19</x:v>
      </x:c>
      <x:c r="E12" s="1" t="s">
        <x:v>20</x:v>
      </x:c>
      <x:c r="F12" s="1" t="s">
        <x:v>20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21</x:v>
      </x:c>
      <x:c r="M12" s="1" t="s">
        <x:v>22</x:v>
      </x:c>
      <x:c r="N12" s="1" t="s">
        <x:v>39</x:v>
      </x:c>
      <x:c r="O12" s="1" t="s">
        <x:v>24</x:v>
      </x:c>
      <x:c r="P12" s="1" t="s">
        <x:v>30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26</x:v>
      </x:c>
      <x:c r="G13" s="1" t="s">
        <x:v>20</x:v>
      </x:c>
      <x:c r="H13" s="1" t="s">
        <x:v>27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40</x:v>
      </x:c>
      <x:c r="G14" s="1" t="s">
        <x:v>20</x:v>
      </x:c>
      <x:c r="H14" s="1" t="s">
        <x:v>32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41</x:v>
      </x:c>
      <x:c r="G15" s="1" t="s">
        <x:v>20</x:v>
      </x:c>
      <x:c r="H15" s="1" t="s">
        <x:v>34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42</x:v>
      </x:c>
      <x:c r="B16" s="2" t="s">
        <x:v>18</x:v>
      </x:c>
      <x:c r="C16" s="2">
        <x:f>HYPERLINK("https://team-v23u.testit.software/projects/142/tests/340", "мас")</x:f>
      </x:c>
      <x:c r="D16" s="1" t="s">
        <x:v>19</x:v>
      </x:c>
      <x:c r="E16" s="1" t="s">
        <x:v>20</x:v>
      </x:c>
      <x:c r="F16" s="1" t="s">
        <x:v>20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21</x:v>
      </x:c>
      <x:c r="M16" s="1" t="s">
        <x:v>22</x:v>
      </x:c>
      <x:c r="N16" s="1" t="s">
        <x:v>43</x:v>
      </x:c>
      <x:c r="O16" s="1" t="s">
        <x:v>24</x:v>
      </x:c>
      <x:c r="P16" s="1" t="s">
        <x:v>30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26</x:v>
      </x:c>
      <x:c r="G17" s="1" t="s">
        <x:v>20</x:v>
      </x:c>
      <x:c r="H17" s="1" t="s">
        <x:v>27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44</x:v>
      </x:c>
      <x:c r="G18" s="1" t="s">
        <x:v>20</x:v>
      </x:c>
      <x:c r="H18" s="1" t="s">
        <x:v>32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41</x:v>
      </x:c>
      <x:c r="G19" s="1" t="s">
        <x:v>20</x:v>
      </x:c>
      <x:c r="H19" s="1" t="s">
        <x:v>34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45</x:v>
      </x:c>
      <x:c r="B20" s="2" t="s">
        <x:v>18</x:v>
      </x:c>
      <x:c r="C20" s="2">
        <x:f>HYPERLINK("https://team-v23u.testit.software/projects/142/tests/341", "лам")</x:f>
      </x:c>
      <x:c r="D20" s="1" t="s">
        <x:v>19</x:v>
      </x:c>
      <x:c r="E20" s="1" t="s">
        <x:v>20</x:v>
      </x:c>
      <x:c r="F20" s="1" t="s">
        <x:v>20</x:v>
      </x:c>
      <x:c r="G20" s="1" t="s">
        <x:v>20</x:v>
      </x:c>
      <x:c r="H20" s="1" t="s">
        <x:v>20</x:v>
      </x:c>
      <x:c r="I20" s="1" t="s">
        <x:v>20</x:v>
      </x:c>
      <x:c r="J20" s="1" t="s">
        <x:v>20</x:v>
      </x:c>
      <x:c r="K20" s="1" t="s">
        <x:v>20</x:v>
      </x:c>
      <x:c r="L20" s="1" t="s">
        <x:v>21</x:v>
      </x:c>
      <x:c r="M20" s="1" t="s">
        <x:v>22</x:v>
      </x:c>
      <x:c r="N20" s="1" t="s">
        <x:v>46</x:v>
      </x:c>
      <x:c r="O20" s="1" t="s">
        <x:v>24</x:v>
      </x:c>
      <x:c r="P20" s="1" t="s">
        <x:v>30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26</x:v>
      </x:c>
      <x:c r="G21" s="1" t="s">
        <x:v>20</x:v>
      </x:c>
      <x:c r="H21" s="1" t="s">
        <x:v>27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47</x:v>
      </x:c>
      <x:c r="G22" s="1" t="s">
        <x:v>20</x:v>
      </x:c>
      <x:c r="H22" s="1" t="s">
        <x:v>32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41</x:v>
      </x:c>
      <x:c r="G23" s="1" t="s">
        <x:v>20</x:v>
      </x:c>
      <x:c r="H23" s="1" t="s">
        <x:v>34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48</x:v>
      </x:c>
      <x:c r="B24" s="2" t="s">
        <x:v>18</x:v>
      </x:c>
      <x:c r="C24" s="2">
        <x:f>HYPERLINK("https://team-v23u.testit.software/projects/142/tests/342", "масл")</x:f>
      </x:c>
      <x:c r="D24" s="1" t="s">
        <x:v>19</x:v>
      </x:c>
      <x:c r="E24" s="1" t="s">
        <x:v>20</x:v>
      </x:c>
      <x:c r="F24" s="1" t="s">
        <x:v>20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21</x:v>
      </x:c>
      <x:c r="M24" s="1" t="s">
        <x:v>22</x:v>
      </x:c>
      <x:c r="N24" s="1" t="s">
        <x:v>49</x:v>
      </x:c>
      <x:c r="O24" s="1" t="s">
        <x:v>24</x:v>
      </x:c>
      <x:c r="P24" s="1" t="s">
        <x:v>30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26</x:v>
      </x:c>
      <x:c r="G25" s="1" t="s">
        <x:v>20</x:v>
      </x:c>
      <x:c r="H25" s="1" t="s">
        <x:v>27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50</x:v>
      </x:c>
      <x:c r="G26" s="1" t="s">
        <x:v>20</x:v>
      </x:c>
      <x:c r="H26" s="1" t="s">
        <x:v>32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41</x:v>
      </x:c>
      <x:c r="G27" s="1" t="s">
        <x:v>20</x:v>
      </x:c>
      <x:c r="H27" s="1" t="s">
        <x:v>34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51</x:v>
      </x:c>
      <x:c r="B28" s="2" t="s">
        <x:v>18</x:v>
      </x:c>
      <x:c r="C28" s="2">
        <x:f>HYPERLINK("https://team-v23u.testit.software/projects/142/tests/343", "жидко")</x:f>
      </x:c>
      <x:c r="D28" s="1" t="s">
        <x:v>19</x:v>
      </x:c>
      <x:c r="E28" s="1" t="s">
        <x:v>20</x:v>
      </x:c>
      <x:c r="F28" s="1" t="s">
        <x:v>20</x:v>
      </x:c>
      <x:c r="G28" s="1" t="s">
        <x:v>20</x:v>
      </x:c>
      <x:c r="H28" s="1" t="s">
        <x:v>20</x:v>
      </x:c>
      <x:c r="I28" s="1" t="s">
        <x:v>20</x:v>
      </x:c>
      <x:c r="J28" s="1" t="s">
        <x:v>20</x:v>
      </x:c>
      <x:c r="K28" s="1" t="s">
        <x:v>20</x:v>
      </x:c>
      <x:c r="L28" s="1" t="s">
        <x:v>21</x:v>
      </x:c>
      <x:c r="M28" s="1" t="s">
        <x:v>22</x:v>
      </x:c>
      <x:c r="N28" s="1" t="s">
        <x:v>52</x:v>
      </x:c>
      <x:c r="O28" s="1" t="s">
        <x:v>24</x:v>
      </x:c>
      <x:c r="P28" s="1" t="s">
        <x:v>30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26</x:v>
      </x:c>
      <x:c r="G29" s="1" t="s">
        <x:v>20</x:v>
      </x:c>
      <x:c r="H29" s="1" t="s">
        <x:v>27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53</x:v>
      </x:c>
      <x:c r="G30" s="1" t="s">
        <x:v>20</x:v>
      </x:c>
      <x:c r="H30" s="1" t="s">
        <x:v>32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41</x:v>
      </x:c>
      <x:c r="G31" s="1" t="s">
        <x:v>20</x:v>
      </x:c>
      <x:c r="H31" s="1" t="s">
        <x:v>34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54</x:v>
      </x:c>
      <x:c r="B32" s="2" t="s">
        <x:v>18</x:v>
      </x:c>
      <x:c r="C32" s="2">
        <x:f>HYPERLINK("https://team-v23u.testit.software/projects/142/tests/344", "пусто")</x:f>
      </x:c>
      <x:c r="D32" s="1" t="s">
        <x:v>19</x:v>
      </x:c>
      <x:c r="E32" s="1" t="s">
        <x:v>20</x:v>
      </x:c>
      <x:c r="F32" s="1" t="s">
        <x:v>20</x:v>
      </x:c>
      <x:c r="G32" s="1" t="s">
        <x:v>20</x:v>
      </x:c>
      <x:c r="H32" s="1" t="s">
        <x:v>20</x:v>
      </x:c>
      <x:c r="I32" s="1" t="s">
        <x:v>20</x:v>
      </x:c>
      <x:c r="J32" s="1" t="s">
        <x:v>20</x:v>
      </x:c>
      <x:c r="K32" s="1" t="s">
        <x:v>20</x:v>
      </x:c>
      <x:c r="L32" s="1" t="s">
        <x:v>21</x:v>
      </x:c>
      <x:c r="M32" s="1" t="s">
        <x:v>22</x:v>
      </x:c>
      <x:c r="N32" s="1" t="s">
        <x:v>55</x:v>
      </x:c>
      <x:c r="O32" s="1" t="s">
        <x:v>24</x:v>
      </x:c>
      <x:c r="P32" s="1" t="s">
        <x:v>30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26</x:v>
      </x:c>
      <x:c r="G33" s="1" t="s">
        <x:v>20</x:v>
      </x:c>
      <x:c r="H33" s="1" t="s">
        <x:v>27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56</x:v>
      </x:c>
      <x:c r="G34" s="1" t="s">
        <x:v>20</x:v>
      </x:c>
      <x:c r="H34" s="1" t="s">
        <x:v>57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58</x:v>
      </x:c>
      <x:c r="B35" s="2" t="s">
        <x:v>18</x:v>
      </x:c>
      <x:c r="C35" s="2">
        <x:f>HYPERLINK("https://team-v23u.testit.software/projects/142/tests/345", "пробелы")</x:f>
      </x:c>
      <x:c r="D35" s="1" t="s">
        <x:v>19</x:v>
      </x:c>
      <x:c r="E35" s="1" t="s">
        <x:v>20</x:v>
      </x:c>
      <x:c r="F35" s="1" t="s">
        <x:v>20</x:v>
      </x:c>
      <x:c r="G35" s="1" t="s">
        <x:v>20</x:v>
      </x:c>
      <x:c r="H35" s="1" t="s">
        <x:v>20</x:v>
      </x:c>
      <x:c r="I35" s="1" t="s">
        <x:v>20</x:v>
      </x:c>
      <x:c r="J35" s="1" t="s">
        <x:v>20</x:v>
      </x:c>
      <x:c r="K35" s="1" t="s">
        <x:v>20</x:v>
      </x:c>
      <x:c r="L35" s="1" t="s">
        <x:v>21</x:v>
      </x:c>
      <x:c r="M35" s="1" t="s">
        <x:v>22</x:v>
      </x:c>
      <x:c r="N35" s="1" t="s">
        <x:v>59</x:v>
      </x:c>
      <x:c r="O35" s="1" t="s">
        <x:v>24</x:v>
      </x:c>
      <x:c r="P35" s="1" t="s">
        <x:v>30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26</x:v>
      </x:c>
      <x:c r="G36" s="1" t="s">
        <x:v>20</x:v>
      </x:c>
      <x:c r="H36" s="1" t="s">
        <x:v>27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60</x:v>
      </x:c>
      <x:c r="G37" s="1" t="s">
        <x:v>20</x:v>
      </x:c>
      <x:c r="H37" s="1" t="s">
        <x:v>57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61</x:v>
      </x:c>
      <x:c r="B38" s="2" t="s">
        <x:v>18</x:v>
      </x:c>
      <x:c r="C38" s="2">
        <x:f>HYPERLINK("https://team-v23u.testit.software/projects/142/tests/346", "несуществующее слово")</x:f>
      </x:c>
      <x:c r="D38" s="1" t="s">
        <x:v>19</x:v>
      </x:c>
      <x:c r="E38" s="1" t="s">
        <x:v>20</x:v>
      </x:c>
      <x:c r="F38" s="1" t="s">
        <x:v>20</x:v>
      </x:c>
      <x:c r="G38" s="1" t="s">
        <x:v>20</x:v>
      </x:c>
      <x:c r="H38" s="1" t="s">
        <x:v>20</x:v>
      </x:c>
      <x:c r="I38" s="1" t="s">
        <x:v>20</x:v>
      </x:c>
      <x:c r="J38" s="1" t="s">
        <x:v>20</x:v>
      </x:c>
      <x:c r="K38" s="1" t="s">
        <x:v>20</x:v>
      </x:c>
      <x:c r="L38" s="1" t="s">
        <x:v>21</x:v>
      </x:c>
      <x:c r="M38" s="1" t="s">
        <x:v>22</x:v>
      </x:c>
      <x:c r="N38" s="1" t="s">
        <x:v>62</x:v>
      </x:c>
      <x:c r="O38" s="1" t="s">
        <x:v>24</x:v>
      </x:c>
      <x:c r="P38" s="1" t="s">
        <x:v>30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26</x:v>
      </x:c>
      <x:c r="G39" s="1" t="s">
        <x:v>20</x:v>
      </x:c>
      <x:c r="H39" s="1" t="s">
        <x:v>27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63</x:v>
      </x:c>
      <x:c r="G40" s="1" t="s">
        <x:v>20</x:v>
      </x:c>
      <x:c r="H40" s="1" t="s">
        <x:v>64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65</x:v>
      </x:c>
      <x:c r="B41" s="2" t="s">
        <x:v>18</x:v>
      </x:c>
      <x:c r="C41" s="2">
        <x:f>HYPERLINK("https://team-v23u.testit.software/projects/142/tests/347", "аккумуляторы")</x:f>
      </x:c>
      <x:c r="D41" s="1" t="s">
        <x:v>19</x:v>
      </x:c>
      <x:c r="E41" s="1" t="s">
        <x:v>20</x:v>
      </x:c>
      <x:c r="F41" s="1" t="s">
        <x:v>20</x:v>
      </x:c>
      <x:c r="G41" s="1" t="s">
        <x:v>20</x:v>
      </x:c>
      <x:c r="H41" s="1" t="s">
        <x:v>20</x:v>
      </x:c>
      <x:c r="I41" s="1" t="s">
        <x:v>20</x:v>
      </x:c>
      <x:c r="J41" s="1" t="s">
        <x:v>20</x:v>
      </x:c>
      <x:c r="K41" s="1" t="s">
        <x:v>20</x:v>
      </x:c>
      <x:c r="L41" s="1" t="s">
        <x:v>21</x:v>
      </x:c>
      <x:c r="M41" s="1" t="s">
        <x:v>66</x:v>
      </x:c>
      <x:c r="N41" s="1" t="s">
        <x:v>67</x:v>
      </x:c>
      <x:c r="O41" s="1" t="s">
        <x:v>24</x:v>
      </x:c>
      <x:c r="P41" s="1" t="s">
        <x:v>30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26</x:v>
      </x:c>
      <x:c r="G42" s="1" t="s">
        <x:v>20</x:v>
      </x:c>
      <x:c r="H42" s="1" t="s">
        <x:v>27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68</x:v>
      </x:c>
      <x:c r="G43" s="1" t="s">
        <x:v>20</x:v>
      </x:c>
      <x:c r="H43" s="1" t="s">
        <x:v>69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70</x:v>
      </x:c>
      <x:c r="G44" s="1" t="s">
        <x:v>20</x:v>
      </x:c>
      <x:c r="H44" s="1" t="s">
        <x:v>71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72</x:v>
      </x:c>
      <x:c r="G45" s="1" t="s">
        <x:v>20</x:v>
      </x:c>
      <x:c r="H45" s="1" t="s">
        <x:v>73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74</x:v>
      </x:c>
      <x:c r="B46" s="2" t="s">
        <x:v>18</x:v>
      </x:c>
      <x:c r="C46" s="2">
        <x:f>HYPERLINK("https://team-v23u.testit.software/projects/142/tests/348", "Дело Техники 563090")</x:f>
      </x:c>
      <x:c r="D46" s="1" t="s">
        <x:v>19</x:v>
      </x:c>
      <x:c r="E46" s="1" t="s">
        <x:v>20</x:v>
      </x:c>
      <x:c r="F46" s="1" t="s">
        <x:v>20</x:v>
      </x:c>
      <x:c r="G46" s="1" t="s">
        <x:v>20</x:v>
      </x:c>
      <x:c r="H46" s="1" t="s">
        <x:v>20</x:v>
      </x:c>
      <x:c r="I46" s="1" t="s">
        <x:v>20</x:v>
      </x:c>
      <x:c r="J46" s="1" t="s">
        <x:v>20</x:v>
      </x:c>
      <x:c r="K46" s="1" t="s">
        <x:v>20</x:v>
      </x:c>
      <x:c r="L46" s="1" t="s">
        <x:v>21</x:v>
      </x:c>
      <x:c r="M46" s="1" t="s">
        <x:v>66</x:v>
      </x:c>
      <x:c r="N46" s="1" t="s">
        <x:v>75</x:v>
      </x:c>
      <x:c r="O46" s="1" t="s">
        <x:v>24</x:v>
      </x:c>
      <x:c r="P46" s="1" t="s">
        <x:v>30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26</x:v>
      </x:c>
      <x:c r="G47" s="1" t="s">
        <x:v>20</x:v>
      </x:c>
      <x:c r="H47" s="1" t="s">
        <x:v>27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76</x:v>
      </x:c>
      <x:c r="G48" s="1" t="s">
        <x:v>20</x:v>
      </x:c>
      <x:c r="H48" s="1" t="s">
        <x:v>77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78</x:v>
      </x:c>
      <x:c r="G49" s="1" t="s">
        <x:v>20</x:v>
      </x:c>
      <x:c r="H49" s="1" t="s">
        <x:v>77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