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40a419eaf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1ae24a99a4c4aa5a3f5e4af04bf6f.psmdcp" Id="R21eaa7b850a545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6" i="1"/>
  <x:c r="C8" i="1"/>
  <x:c r="C12" i="1"/>
  <x:c r="C16" i="1"/>
  <x:c r="C20" i="1"/>
  <x:c r="C25" i="1"/>
  <x:c r="C30" i="1"/>
  <x:c r="C36" i="1"/>
  <x:c r="C43" i="1"/>
  <x:c r="C54" i="1"/>
  <x:c r="C62" i="1"/>
  <x:c r="C71" i="1"/>
  <x:c r="C82" i="1"/>
  <x:c r="C93" i="1"/>
  <x:c r="C104" i="1"/>
  <x:c r="C115" i="1"/>
  <x:c r="C127" i="1"/>
  <x:c r="C143" i="1"/>
  <x:c r="C148" i="1"/>
  <x:c r="C153" i="1"/>
  <x:c r="C158" i="1"/>
  <x:c r="C165" i="1"/>
  <x:c r="C171" i="1"/>
  <x:c r="C185" i="1"/>
  <x:c r="C192" i="1"/>
  <x:c r="C199" i="1"/>
  <x:c r="C211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<x:sst xmlns:x="http://schemas.openxmlformats.org/spreadsheetml/2006/main">
  <x:si>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</x:si>
  <x:si>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</x:si>
  <x:si>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</x:si>
  <x:si>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</x:si>
  <x:si>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</x:si>
  <x:si>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</x:si>
  <x:si>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</x:si>
  <x:si>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</x:si>
  <x:si>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</x:si>
  <x:si>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</x:si>
  <x:si>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</x:si>
  <x:si>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</x:si>
  <x:si>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</x:si>
  <x:si>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</x:si>
  <x:si>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</x:si>
  <x:si>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</x:si>
  <x:si>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</x:si>
  <x:si>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406</x:t>
  </x:si>
  <x:si>
    <x:t>стажировка -&gt; unichel-shop.ru</x:t>
  </x:si>
  <x:si>
    <x:t>Нет</x:t>
  </x:si>
  <x:si>
    <x:t/>
  </x:si>
  <x:si>
    <x:t>Средний</x:t>
  </x:si>
  <x:si>
    <x:t>Готов</x:t>
  </x:si>
  <x:si>
    <x:t>10/3/2025 06:09:51</x:t>
  </x:si>
  <x:si>
    <x:t>тимур гатауллин</x:t>
  </x:si>
  <x:si>
    <x:t>0h 0m 0s</x:t>
  </x:si>
  <x:si>
    <x:t>открыть сайт unichel-shop.ru</x:t>
  </x:si>
  <x:si>
    <x:t>сайт открыт</x:t>
  </x:si>
  <x:si>
    <x:t>407</x:t>
  </x:si>
  <x:si>
    <x:t>10/3/2025 06:12:27</x:t>
  </x:si>
  <x:si>
    <x:t>кликнуть иконку  авторизации</x:t>
  </x:si>
  <x:si>
    <x:t>открылась модалка с полями</x:t>
  </x:si>
  <x:si>
    <x:t>413</x:t>
  </x:si>
  <x:si>
    <x:t>10/3/2025 06:27:57</x:t>
  </x:si>
  <x:si>
    <x:t>кликнуть ссылку  “Регистрация на сайте”</x:t>
  </x:si>
  <x:si>
    <x:t>открылась новая страница для регистрации</x:t>
  </x:si>
  <x:si>
    <x:t>408</x:t>
  </x:si>
  <x:si>
    <x:t>10/3/2025 06:16:31</x:t>
  </x:si>
  <x:si>
    <x:t>0h 1m 0s</x:t>
  </x:si>
  <x:si>
    <x:t>не будучи ранее зарегистрированным заполнить поля, кликнуть “Войти”</x:t>
  </x:si>
  <x:si>
    <x:t>отказ в доступе</x:t>
  </x:si>
  <x:si>
    <x:t>409</x:t>
  </x:si>
  <x:si>
    <x:t>10/3/2025 06:19:29</x:t>
  </x:si>
  <x:si>
    <x:t>кликнуть на вкладку “Телефон”. Не будучи ранее зарегистрированным заполнить поля, кликнуть “Войти”</x:t>
  </x:si>
  <x:si>
    <x:t>410</x:t>
  </x:si>
  <x:si>
    <x:t>10/3/2025 06:21:06</x:t>
  </x:si>
  <x:si>
    <x:t>не будучи ранее зарегистрированным оставить пустые поля, кликнуть “Войти”</x:t>
  </x:si>
  <x:si>
    <x:t>411</x:t>
  </x:si>
  <x:si>
    <x:t>10/3/2025 06:24:52</x:t>
  </x:si>
  <x:si>
    <x:t>не будучи ранее зарегистрированным кликнуть “Напомнить пароль”</x:t>
  </x:si>
  <x:si>
    <x:t>открылась страница для восстановления пароля с полем адреса почты</x:t>
  </x:si>
  <x:si>
    <x:t>ввести невалидный адрес почты</x:t>
  </x:si>
  <x:si>
    <x:t>валидация не проходит</x:t>
  </x:si>
  <x:si>
    <x:t>412</x:t>
  </x:si>
  <x:si>
    <x:t>10/3/2025 06:26:00</x:t>
  </x:si>
  <x:si>
    <x:t>ввести валидный адрес почты</x:t>
  </x:si>
  <x:si>
    <x:t>вышло сообщение, что пользователь не существует</x:t>
  </x:si>
  <x:si>
    <x:t>414</x:t>
  </x:si>
  <x:si>
    <x:t>10/3/2025 06:31:27</x:t>
  </x:si>
  <x:si>
    <x:t>ввести в поле Email не валидный адрес почты</x:t>
  </x:si>
  <x:si>
    <x:t>валидация не пройдена</x:t>
  </x:si>
  <x:si>
    <x:t>кликнуть “Сохранить”</x:t>
  </x:si>
  <x:si>
    <x:t>в поле Email всплыла подсказка об ошибочном адресе, регистрацию продолжить нельзя</x:t>
  </x:si>
  <x:si>
    <x:t>415</x:t>
  </x:si>
  <x:si>
    <x:t>Не готов</x:t>
  </x:si>
  <x:si>
    <x:t>10/3/2025 06:37:25</x:t>
  </x:si>
  <x:si>
    <x:t>ввести в поле Email  валидный адрес почты</x:t>
  </x:si>
  <x:si>
    <x:t>поле заполнено</x:t>
  </x:si>
  <x:si>
    <x:t>ввести в поле Телефон невалидный номер. (нули, буквы, или начиная не с девятки)</x:t>
  </x:si>
  <x:si>
    <x:t>регистрацию продолжить нельзя</x:t>
  </x:si>
  <x:si>
    <x:t>416</x:t>
  </x:si>
  <x:si>
    <x:t>пароль 4: Worldofwarcraft4@;</x:t>
  </x:si>
  <x:si>
    <x:t>10/3/2025 06:51:16</x:t>
  </x:si>
  <x:si>
    <x:t>ввести валидный пароль %пароль 4</x:t>
  </x:si>
  <x:si>
    <x:t>заполнить поля фио</x:t>
  </x:si>
  <x:si>
    <x:t>поля заполнены</x:t>
  </x:si>
  <x:si>
    <x:t>выбрать дату рождения</x:t>
  </x:si>
  <x:si>
    <x:t>дата рождения выбрана</x:t>
  </x:si>
  <x:si>
    <x:t>поставить галочки обработки данных и соглашения</x:t>
  </x:si>
  <x:si>
    <x:t>галочки стоят</x:t>
  </x:si>
  <x:si>
    <x:t>регистрация не получается из-за невалидного номера телефона</x:t>
  </x:si>
  <x:si>
    <x:t>417</x:t>
  </x:si>
  <x:si>
    <x:t>невалид_пароль: abcdefghig;</x:t>
  </x:si>
  <x:si>
    <x:t>10/3/2025 06:53:50</x:t>
  </x:si>
  <x:si>
    <x:t>ввести в поле Телефон валидный номер</x:t>
  </x:si>
  <x:si>
    <x:t>валидация пройдена</x:t>
  </x:si>
  <x:si>
    <x:t>в полл Пароль ввести невалидный пароль %невалид_пароль</x:t>
  </x:si>
  <x:si>
    <x:t>регистрация не получается из-за невалидного пароля</x:t>
  </x:si>
  <x:si>
    <x:t>418</x:t>
  </x:si>
  <x:si>
    <x:t>10/3/2025 06:55:12</x:t>
  </x:si>
  <x:si>
    <x:t>не заполнять поля фио</x:t>
  </x:si>
  <x:si>
    <x:t>регистрация не получается из-за невалидных полей фио</x:t>
  </x:si>
  <x:si>
    <x:t>419</x:t>
  </x:si>
  <x:si>
    <x:t>10/3/2025 07:02:42</x:t>
  </x:si>
  <x:si>
    <x:t>выбрать в календаре для даты рождения дату в будущем</x:t>
  </x:si>
  <x:si>
    <x:t>дата выбралась</x:t>
  </x:si>
  <x:si>
    <x:t>принять галочки соглашений</x:t>
  </x:si>
  <x:si>
    <x:t>соглашения приняты</x:t>
  </x:si>
  <x:si>
    <x:t>регистрация не получается из-за ошибочной даты рождения</x:t>
  </x:si>
  <x:si>
    <x:t>420</x:t>
  </x:si>
  <x:si>
    <x:t>10/3/2025 07:05:53</x:t>
  </x:si>
  <x:si>
    <x:t>выбрать в календаре для даты рождения валидную дату</x:t>
  </x:si>
  <x:si>
    <x:t>не ставить радиокнопку выбора пола, кликнуть “Сохранить”</x:t>
  </x:si>
  <x:si>
    <x:t>система требует выбрать пол</x:t>
  </x:si>
  <x:si>
    <x:t>421</x:t>
  </x:si>
  <x:si>
    <x:t>пароль 4: Worldofwarcraft4@; email4: koshimyaka@yandex.ru;</x:t>
  </x:si>
  <x:si>
    <x:t>10/3/2025 07:07:43</x:t>
  </x:si>
  <x:si>
    <x:t>ввести в поле Email  валидный адрес почты  %email4</x:t>
  </x:si>
  <x:si>
    <x:t>не ставить принять галочки соглашений</x:t>
  </x:si>
  <x:si>
    <x:t>галочек нет</x:t>
  </x:si>
  <x:si>
    <x:t>система требует проставку обязательных галочек</x:t>
  </x:si>
  <x:si>
    <x:t>422</x:t>
  </x:si>
  <x:si>
    <x:t>10/3/2025 07:09:28</x:t>
  </x:si>
  <x:si>
    <x:t>принять галочки  обязательных соглашений</x:t>
  </x:si>
  <x:si>
    <x:t>галочки есть</x:t>
  </x:si>
  <x:si>
    <x:t>открылось окно личного кабинета</x:t>
  </x:si>
  <x:si>
    <x:t>423</x:t>
  </x:si>
  <x:si>
    <x:t>10/3/2025 07:19:54</x:t>
  </x:si>
  <x:si>
    <x:t>0h 3m 0s</x:t>
  </x:si>
  <x:si>
    <x:t>открылось окно личного кабинета с надписью  “Для оформления заказов на сайте необходимо подтвердить аккаунт”</x:t>
  </x:si>
  <x:si>
    <x:t>без подтверждения аккаунта выбрать в каталоге товар и оформить заказ</x:t>
  </x:si>
  <x:si>
    <x:t>в оформлении заказа система должна отказать из-за неподтвержденного аккаунта</x:t>
  </x:si>
  <x:si>
    <x:t>424</x:t>
  </x:si>
  <x:si>
    <x:t>10/3/2025 07:28:07</x:t>
  </x:si>
  <x:si>
    <x:t>0h 5m 0s</x:t>
  </x:si>
  <x:si>
    <x:t>кликнуть линк “подтвердить аккаунт”</x:t>
  </x:si>
  <x:si>
    <x:t>открылась  страница с подтверждением ранее введенного адреса почты</x:t>
  </x:si>
  <x:si>
    <x:t>кликнуть “отправить письмо”</x:t>
  </x:si>
  <x:si>
    <x:t>сообщение с просьбой проверить ранее указанный почтовый ящик</x:t>
  </x:si>
  <x:si>
    <x:t>проверить ранее указанный почтовый ящик</x:t>
  </x:si>
  <x:si>
    <x:t>письмо от магазина сайта пришло (проверь в спаме)</x:t>
  </x:si>
  <x:si>
    <x:t>кликнуть линк “Подтвердить аккаунт”</x:t>
  </x:si>
  <x:si>
    <x:t>открылась страница в новой вкладке с подтверждением аккаунта</x:t>
  </x:si>
  <x:si>
    <x:t>разлогиниться</x:t>
  </x:si>
  <x:si>
    <x:t>425</x:t>
  </x:si>
  <x:si>
    <x:t>email4: koshimyaka@yandex.ru;</x:t>
  </x:si>
  <x:si>
    <x:t>10/3/2025 07:34:19</x:t>
  </x:si>
  <x:si>
    <x:t>на вкладке Email ввести ранее зареганый адрес почты %email4</x:t>
  </x:si>
  <x:si>
    <x:t>email введен</x:t>
  </x:si>
  <x:si>
    <x:t>в поле Пароль ввести невалидный пароль, нажать Войти</x:t>
  </x:si>
  <x:si>
    <x:t>в авторизации отказано</x:t>
  </x:si>
  <x:si>
    <x:t>426</x:t>
  </x:si>
  <x:si>
    <x:t>пароль 4: Worldofwarcraft4@; email4: timurige@mail.ru;</x:t>
  </x:si>
  <x:si>
    <x:t>10/3/2025 07:35:46</x:t>
  </x:si>
  <x:si>
    <x:t>на вкладке Email ввести валидный  адрес почты %email4 , не использованный при регистрации</x:t>
  </x:si>
  <x:si>
    <x:t>в поле Пароль ввести пароль %пароль 4 , использованный при регистрации, нажать Войти</x:t>
  </x:si>
  <x:si>
    <x:t>427</x:t>
  </x:si>
  <x:si>
    <x:t>10/3/2025 07:43:53</x:t>
  </x:si>
  <x:si>
    <x:t>на вкладке Email ввести  невалидный  адрес</x:t>
  </x:si>
  <x:si>
    <x:t>428</x:t>
  </x:si>
  <x:si>
    <x:t>10/3/2025 07:46:21</x:t>
  </x:si>
  <x:si>
    <x:t>на вкладке Email ввести использованный при регистрации адрес %email4</x:t>
  </x:si>
  <x:si>
    <x:t>в поле Пароль ввести пароль %пароль 4 , использованный при регистрации</x:t>
  </x:si>
  <x:si>
    <x:t>нажать Войти</x:t>
  </x:si>
  <x:si>
    <x:t>пользователь авторизован</x:t>
  </x:si>
  <x:si>
    <x:t>429</x:t>
  </x:si>
  <x:si>
    <x:t>10/3/2025 07:51:03</x:t>
  </x:si>
  <x:si>
    <x:t>кликнуть линк “напомнить пароль”</x:t>
  </x:si>
  <x:si>
    <x:t>открылось окно для восстановления пароля</x:t>
  </x:si>
  <x:si>
    <x:t>ввести в поле невалидную почту</x:t>
  </x:si>
  <x:si>
    <x:t>валидация не  проходит</x:t>
  </x:si>
  <x:si>
    <x:t>430</x:t>
  </x:si>
  <x:si>
    <x:t>10/3/2025 08:02:14</x:t>
  </x:si>
  <x:si>
    <x:t>на вкладке Email кликнуть линк “напомнить пароль”</x:t>
  </x:si>
  <x:si>
    <x:t>ввести в поле использованную при регистрации почту %email4 , кликнуть “Восстановить пароль”</x:t>
  </x:si>
  <x:si>
    <x:t>вышло сообщение об отправлении системой нового пароля на почту</x:t>
  </x:si>
  <x:si>
    <x:t>проверить эту почту</x:t>
  </x:si>
  <x:si>
    <x:t>во входящий или спаме есть письмо от тестируемого сайта с новым паролем</x:t>
  </x:si>
  <x:si>
    <x:t>скопировать новый пароль</x:t>
  </x:si>
  <x:si>
    <x:t>новый пароль скопирован</x:t>
  </x:si>
  <x:si>
    <x:t>на вкладке Email ввести в поле использованную при регистрации почту %email4</x:t>
  </x:si>
  <x:si>
    <x:t>ввести в поле “Пароль” старый пароль %пароль 4</x:t>
  </x:si>
  <x:si>
    <x:t>ввести в поле “Пароль” новый пароль</x:t>
  </x:si>
  <x:si>
    <x:t>в поле “Пароль” введен новый пароль</x:t>
  </x:si>
  <x:si>
    <x:t>кликнуть Войти</x:t>
  </x:si>
  <x:si>
    <x:t>431</x:t>
  </x:si>
  <x:si>
    <x:t>контактный телефон 4: +7 901 212-15-15;</x:t>
  </x:si>
  <x:si>
    <x:t>10/3/2025 08:13:25</x:t>
  </x:si>
  <x:si>
    <x:t>на вкладке Телефон ввести использованный при регистрации номер телефона %контактный телефон 4</x:t>
  </x:si>
  <x:si>
    <x:t>в поле Пароль ввести не использованный при регистрации пароль</x:t>
  </x:si>
  <x:si>
    <x:t>появляется сообщение о неверном пароле</x:t>
  </x:si>
  <x:si>
    <x:t>432</x:t>
  </x:si>
  <x:si>
    <x:t>10/3/2025 08:23:17</x:t>
  </x:si>
  <x:si>
    <x:t>на вкладке Телефон ввести использованный при регистрации номер телефона</x:t>
  </x:si>
  <x:si>
    <x:t>в поле Пароль ввести зеригистрированный пароль</x:t>
  </x:si>
  <x:si>
    <x:t>433</x:t>
  </x:si>
  <x:si>
    <x:t>10/3/2025 08:27:44</x:t>
  </x:si>
  <x:si>
    <x:t>ввести в поле Email  валидный адрес почты  %email4 , ранее использованный при регистрации</x:t>
  </x:si>
  <x:si>
    <x:t>проставить радиоточку</x:t>
  </x:si>
  <x:si>
    <x:t>радиоточка нажата</x:t>
  </x:si>
  <x:si>
    <x:t>сообщение о том, что пользователь уже есть в системе</x:t>
  </x:si>
  <x:si>
    <x:t>562</x:t>
  </x:si>
  <x:si>
    <x:t>пароль 4: Worldofwarcraft4@; email4: shurtiginshurtigin@yandex.ru;</x:t>
  </x:si>
  <x:si>
    <x:t>10/7/2025 10:01:11</x:t>
  </x:si>
  <x:si>
    <x:t>баг</x:t>
  </x:si>
  <x:si>
    <x:t>приготовить любой секундомер</x:t>
  </x:si>
  <x:si>
    <x:t>нажать радиокнопку “пол”</x:t>
  </x:si>
  <x:si>
    <x:t>пол выбран</x:t>
  </x:si>
  <x:si>
    <x:t>кликнуть “Выйти”</x:t>
  </x:si>
  <x:si>
    <x:t>пользователь разлогинен</x:t>
  </x:si>
  <x:si>
    <x:t>открылась модалка с полями для авторизации</x:t>
  </x:si>
  <x:si>
    <x:t>в поле авторизации кликнуть “Напомнить пароль”</x:t>
  </x:si>
  <x:si>
    <x:t>открылась новая страница для восстановления доступа с полем Email</x:t>
  </x:si>
  <x:si>
    <x:t>ввести в поле Email  использованный при регистрации  адрес почты  %email4 , запустить любой секундомер</x:t>
  </x:si>
  <x:si>
    <x:t>сообщение “Новый пароль отправлен на вашу “почту</x:t>
  </x:si>
  <x:si>
    <x:t>убедиться, что в почтовом ящике появилось письмо для восстановления пароля. зафиксировать показания секундомера</x:t>
  </x:si>
  <x:si>
    <x:t>в почтовом ящике появилось письмо для восстановления пароля</x:t>
  </x:si>
  <x:si>
    <x:t>ввести в поле Email  использованный при регистрации  адрес почты  %email4</x:t>
  </x:si>
  <x:si>
    <x:t>ввести в поле Пароль новый пароль из почты, нажать Войти</x:t>
  </x:si>
  <x:si>
    <x:t>открылась страница с подтверждением авторизации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</x:si>
</x:sst>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33" totalsRowShown="0">
  <x:autoFilter ref="A1:Q23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3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8.853482" style="2" customWidth="1"/>
    <x:col min="3" max="3" width="50.710625" style="2" customWidth="1"/>
    <x:col min="4" max="4" width="20.139196" style="1" customWidth="1"/>
    <x:col min="5" max="5" width="31.424911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50.710625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HYPERLINK("https://team-v23u.testit.software/projects/142/tests/406",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HYPERLINK("https://team-v23u.testit.software/projects/142/tests/407", "человечек")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25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HYPERLINK("https://team-v23u.testit.software/projects/142/tests/413", "____регистрация на сайте______")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25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36</x:v>
      </x:c>
      <x:c r="B8" s="2" t="s">
        <x:v>18</x:v>
      </x:c>
      <x:c r="C8" s="2">
        <x:f>HYPERLINK("https://team-v23u.testit.software/projects/142/tests/408", "ввод без регистр mail")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37</x:v>
      </x:c>
      <x:c r="O8" s="1" t="s">
        <x:v>24</x:v>
      </x:c>
      <x:c r="P8" s="1" t="s">
        <x:v>38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26</x:v>
      </x:c>
      <x:c r="G9" s="1" t="s">
        <x:v>20</x:v>
      </x:c>
      <x:c r="H9" s="1" t="s">
        <x:v>27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30</x:v>
      </x:c>
      <x:c r="G10" s="1" t="s">
        <x:v>20</x:v>
      </x:c>
      <x:c r="H10" s="1" t="s">
        <x:v>31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39</x:v>
      </x:c>
      <x:c r="G11" s="1" t="s">
        <x:v>20</x:v>
      </x:c>
      <x:c r="H11" s="1" t="s">
        <x:v>40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41</x:v>
      </x:c>
      <x:c r="B12" s="2" t="s">
        <x:v>18</x:v>
      </x:c>
      <x:c r="C12" s="2">
        <x:f>HYPERLINK("https://team-v23u.testit.software/projects/142/tests/409", "ввод без регистр телефон")</x:f>
      </x:c>
      <x:c r="D12" s="1" t="s">
        <x:v>19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21</x:v>
      </x:c>
      <x:c r="M12" s="1" t="s">
        <x:v>22</x:v>
      </x:c>
      <x:c r="N12" s="1" t="s">
        <x:v>42</x:v>
      </x:c>
      <x:c r="O12" s="1" t="s">
        <x:v>24</x:v>
      </x:c>
      <x:c r="P12" s="1" t="s">
        <x:v>38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26</x:v>
      </x:c>
      <x:c r="G13" s="1" t="s">
        <x:v>20</x:v>
      </x:c>
      <x:c r="H13" s="1" t="s">
        <x:v>27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30</x:v>
      </x:c>
      <x:c r="G14" s="1" t="s">
        <x:v>20</x:v>
      </x:c>
      <x:c r="H14" s="1" t="s">
        <x:v>31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43</x:v>
      </x:c>
      <x:c r="G15" s="1" t="s">
        <x:v>20</x:v>
      </x:c>
      <x:c r="H15" s="1" t="s">
        <x:v>40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44</x:v>
      </x:c>
      <x:c r="B16" s="2" t="s">
        <x:v>18</x:v>
      </x:c>
      <x:c r="C16" s="2">
        <x:f>HYPERLINK("https://team-v23u.testit.software/projects/142/tests/410", "ввод без регистр пустые поля")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45</x:v>
      </x:c>
      <x:c r="O16" s="1" t="s">
        <x:v>24</x:v>
      </x:c>
      <x:c r="P16" s="1" t="s">
        <x:v>38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30</x:v>
      </x:c>
      <x:c r="G18" s="1" t="s">
        <x:v>20</x:v>
      </x:c>
      <x:c r="H18" s="1" t="s">
        <x:v>31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46</x:v>
      </x:c>
      <x:c r="G19" s="1" t="s">
        <x:v>20</x:v>
      </x:c>
      <x:c r="H19" s="1" t="s">
        <x:v>40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47</x:v>
      </x:c>
      <x:c r="B20" s="2" t="s">
        <x:v>18</x:v>
      </x:c>
      <x:c r="C20" s="2">
        <x:f>HYPERLINK("https://team-v23u.testit.software/projects/142/tests/411", " ввод без регистр напомнить невалид")</x:f>
      </x:c>
      <x:c r="D20" s="1" t="s">
        <x:v>19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21</x:v>
      </x:c>
      <x:c r="M20" s="1" t="s">
        <x:v>22</x:v>
      </x:c>
      <x:c r="N20" s="1" t="s">
        <x:v>48</x:v>
      </x:c>
      <x:c r="O20" s="1" t="s">
        <x:v>24</x:v>
      </x:c>
      <x:c r="P20" s="1" t="s">
        <x:v>38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26</x:v>
      </x:c>
      <x:c r="G21" s="1" t="s">
        <x:v>20</x:v>
      </x:c>
      <x:c r="H21" s="1" t="s">
        <x:v>27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30</x:v>
      </x:c>
      <x:c r="G22" s="1" t="s">
        <x:v>20</x:v>
      </x:c>
      <x:c r="H22" s="1" t="s">
        <x:v>31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49</x:v>
      </x:c>
      <x:c r="G23" s="1" t="s">
        <x:v>20</x:v>
      </x:c>
      <x:c r="H23" s="1" t="s">
        <x:v>50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51</x:v>
      </x:c>
      <x:c r="G24" s="1" t="s">
        <x:v>20</x:v>
      </x:c>
      <x:c r="H24" s="1" t="s">
        <x:v>52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53</x:v>
      </x:c>
      <x:c r="B25" s="2" t="s">
        <x:v>18</x:v>
      </x:c>
      <x:c r="C25" s="2">
        <x:f>HYPERLINK("https://team-v23u.testit.software/projects/142/tests/412", " ввод без регистр напомнить валид")</x:f>
      </x:c>
      <x:c r="D25" s="1" t="s">
        <x:v>19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21</x:v>
      </x:c>
      <x:c r="M25" s="1" t="s">
        <x:v>22</x:v>
      </x:c>
      <x:c r="N25" s="1" t="s">
        <x:v>54</x:v>
      </x:c>
      <x:c r="O25" s="1" t="s">
        <x:v>24</x:v>
      </x:c>
      <x:c r="P25" s="1" t="s">
        <x:v>38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26</x:v>
      </x:c>
      <x:c r="G26" s="1" t="s">
        <x:v>20</x:v>
      </x:c>
      <x:c r="H26" s="1" t="s">
        <x:v>27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30</x:v>
      </x:c>
      <x:c r="G27" s="1" t="s">
        <x:v>20</x:v>
      </x:c>
      <x:c r="H27" s="1" t="s">
        <x:v>31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49</x:v>
      </x:c>
      <x:c r="G28" s="1" t="s">
        <x:v>20</x:v>
      </x:c>
      <x:c r="H28" s="1" t="s">
        <x:v>50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55</x:v>
      </x:c>
      <x:c r="G29" s="1" t="s">
        <x:v>20</x:v>
      </x:c>
      <x:c r="H29" s="1" t="s">
        <x:v>56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57</x:v>
      </x:c>
      <x:c r="B30" s="2" t="s">
        <x:v>18</x:v>
      </x:c>
      <x:c r="C30" s="2">
        <x:f>HYPERLINK("https://team-v23u.testit.software/projects/142/tests/414", "регистрация не валид почта")</x:f>
      </x:c>
      <x:c r="D30" s="1" t="s">
        <x:v>19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21</x:v>
      </x:c>
      <x:c r="M30" s="1" t="s">
        <x:v>22</x:v>
      </x:c>
      <x:c r="N30" s="1" t="s">
        <x:v>58</x:v>
      </x:c>
      <x:c r="O30" s="1" t="s">
        <x:v>24</x:v>
      </x:c>
      <x:c r="P30" s="1" t="s">
        <x:v>38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26</x:v>
      </x:c>
      <x:c r="G31" s="1" t="s">
        <x:v>20</x:v>
      </x:c>
      <x:c r="H31" s="1" t="s">
        <x:v>27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30</x:v>
      </x:c>
      <x:c r="G32" s="1" t="s">
        <x:v>20</x:v>
      </x:c>
      <x:c r="H32" s="1" t="s">
        <x:v>31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34</x:v>
      </x:c>
      <x:c r="G33" s="1" t="s">
        <x:v>20</x:v>
      </x:c>
      <x:c r="H33" s="1" t="s">
        <x:v>35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59</x:v>
      </x:c>
      <x:c r="G34" s="1" t="s">
        <x:v>20</x:v>
      </x:c>
      <x:c r="H34" s="1" t="s">
        <x:v>60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61</x:v>
      </x:c>
      <x:c r="G35" s="1" t="s">
        <x:v>20</x:v>
      </x:c>
      <x:c r="H35" s="1" t="s">
        <x:v>62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63</x:v>
      </x:c>
      <x:c r="B36" s="2" t="s">
        <x:v>18</x:v>
      </x:c>
      <x:c r="C36" s="2">
        <x:f>HYPERLINK("https://team-v23u.testit.software/projects/142/tests/415", "регистрация не валид телефон")</x:f>
      </x:c>
      <x:c r="D36" s="1" t="s">
        <x:v>19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21</x:v>
      </x:c>
      <x:c r="M36" s="1" t="s">
        <x:v>64</x:v>
      </x:c>
      <x:c r="N36" s="1" t="s">
        <x:v>65</x:v>
      </x:c>
      <x:c r="O36" s="1" t="s">
        <x:v>24</x:v>
      </x:c>
      <x:c r="P36" s="1" t="s">
        <x:v>38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26</x:v>
      </x:c>
      <x:c r="G37" s="1" t="s">
        <x:v>20</x:v>
      </x:c>
      <x:c r="H37" s="1" t="s">
        <x:v>27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30</x:v>
      </x:c>
      <x:c r="G38" s="1" t="s">
        <x:v>20</x:v>
      </x:c>
      <x:c r="H38" s="1" t="s">
        <x:v>31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34</x:v>
      </x:c>
      <x:c r="G39" s="1" t="s">
        <x:v>20</x:v>
      </x:c>
      <x:c r="H39" s="1" t="s">
        <x:v>35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66</x:v>
      </x:c>
      <x:c r="G40" s="1" t="s">
        <x:v>20</x:v>
      </x:c>
      <x:c r="H40" s="1" t="s">
        <x:v>67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68</x:v>
      </x:c>
      <x:c r="G41" s="1" t="s">
        <x:v>20</x:v>
      </x:c>
      <x:c r="H41" s="1" t="s">
        <x:v>60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61</x:v>
      </x:c>
      <x:c r="G42" s="1" t="s">
        <x:v>20</x:v>
      </x:c>
      <x:c r="H42" s="1" t="s">
        <x:v>69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70</x:v>
      </x:c>
      <x:c r="B43" s="2" t="s">
        <x:v>18</x:v>
      </x:c>
      <x:c r="C43" s="2">
        <x:f>HYPERLINK("https://team-v23u.testit.software/projects/142/tests/416", "регистрация не валид телефон -валид пароль и тд")</x:f>
      </x:c>
      <x:c r="D43" s="1" t="s">
        <x:v>19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71</x:v>
      </x:c>
      <x:c r="L43" s="1" t="s">
        <x:v>21</x:v>
      </x:c>
      <x:c r="M43" s="1" t="s">
        <x:v>22</x:v>
      </x:c>
      <x:c r="N43" s="1" t="s">
        <x:v>72</x:v>
      </x:c>
      <x:c r="O43" s="1" t="s">
        <x:v>24</x:v>
      </x:c>
      <x:c r="P43" s="1" t="s">
        <x:v>38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26</x:v>
      </x:c>
      <x:c r="G44" s="1" t="s">
        <x:v>20</x:v>
      </x:c>
      <x:c r="H44" s="1" t="s">
        <x:v>27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30</x:v>
      </x:c>
      <x:c r="G45" s="1" t="s">
        <x:v>20</x:v>
      </x:c>
      <x:c r="H45" s="1" t="s">
        <x:v>31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34</x:v>
      </x:c>
      <x:c r="G46" s="1" t="s">
        <x:v>20</x:v>
      </x:c>
      <x:c r="H46" s="1" t="s">
        <x:v>35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66</x:v>
      </x:c>
      <x:c r="G47" s="1" t="s">
        <x:v>20</x:v>
      </x:c>
      <x:c r="H47" s="1" t="s">
        <x:v>67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68</x:v>
      </x:c>
      <x:c r="G48" s="1" t="s">
        <x:v>20</x:v>
      </x:c>
      <x:c r="H48" s="1" t="s">
        <x:v>60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73</x:v>
      </x:c>
      <x:c r="G49" s="1" t="s">
        <x:v>20</x:v>
      </x:c>
      <x:c r="H49" s="1" t="s">
        <x:v>67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74</x:v>
      </x:c>
      <x:c r="G50" s="1" t="s">
        <x:v>20</x:v>
      </x:c>
      <x:c r="H50" s="1" t="s">
        <x:v>75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76</x:v>
      </x:c>
      <x:c r="G51" s="1" t="s">
        <x:v>20</x:v>
      </x:c>
      <x:c r="H51" s="1" t="s">
        <x:v>77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78</x:v>
      </x:c>
      <x:c r="G52" s="1" t="s">
        <x:v>20</x:v>
      </x:c>
      <x:c r="H52" s="1" t="s">
        <x:v>79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61</x:v>
      </x:c>
      <x:c r="G53" s="1" t="s">
        <x:v>20</x:v>
      </x:c>
      <x:c r="H53" s="1" t="s">
        <x:v>80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81</x:v>
      </x:c>
      <x:c r="B54" s="2" t="s">
        <x:v>18</x:v>
      </x:c>
      <x:c r="C54" s="2">
        <x:f>HYPERLINK("https://team-v23u.testit.software/projects/142/tests/417", "регистрация  валид телефон -не валид пароль и тд")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82</x:v>
      </x:c>
      <x:c r="L54" s="1" t="s">
        <x:v>21</x:v>
      </x:c>
      <x:c r="M54" s="1" t="s">
        <x:v>22</x:v>
      </x:c>
      <x:c r="N54" s="1" t="s">
        <x:v>83</x:v>
      </x:c>
      <x:c r="O54" s="1" t="s">
        <x:v>24</x:v>
      </x:c>
      <x:c r="P54" s="1" t="s">
        <x:v>38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26</x:v>
      </x:c>
      <x:c r="G55" s="1" t="s">
        <x:v>20</x:v>
      </x:c>
      <x:c r="H55" s="1" t="s">
        <x:v>27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30</x:v>
      </x:c>
      <x:c r="G56" s="1" t="s">
        <x:v>20</x:v>
      </x:c>
      <x:c r="H56" s="1" t="s">
        <x:v>31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34</x:v>
      </x:c>
      <x:c r="G57" s="1" t="s">
        <x:v>20</x:v>
      </x:c>
      <x:c r="H57" s="1" t="s">
        <x:v>35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66</x:v>
      </x:c>
      <x:c r="G58" s="1" t="s">
        <x:v>20</x:v>
      </x:c>
      <x:c r="H58" s="1" t="s">
        <x:v>67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84</x:v>
      </x:c>
      <x:c r="G59" s="1" t="s">
        <x:v>20</x:v>
      </x:c>
      <x:c r="H59" s="1" t="s">
        <x:v>85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86</x:v>
      </x:c>
      <x:c r="G60" s="1" t="s">
        <x:v>20</x:v>
      </x:c>
      <x:c r="H60" s="1" t="s">
        <x:v>60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61</x:v>
      </x:c>
      <x:c r="G61" s="1" t="s">
        <x:v>20</x:v>
      </x:c>
      <x:c r="H61" s="1" t="s">
        <x:v>87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88</x:v>
      </x:c>
      <x:c r="B62" s="2" t="s">
        <x:v>18</x:v>
      </x:c>
      <x:c r="C62" s="2">
        <x:f>HYPERLINK("https://team-v23u.testit.software/projects/142/tests/418", " рега- валид телефон -валид пароль-невалид фио")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71</x:v>
      </x:c>
      <x:c r="L62" s="1" t="s">
        <x:v>21</x:v>
      </x:c>
      <x:c r="M62" s="1" t="s">
        <x:v>22</x:v>
      </x:c>
      <x:c r="N62" s="1" t="s">
        <x:v>89</x:v>
      </x:c>
      <x:c r="O62" s="1" t="s">
        <x:v>24</x:v>
      </x:c>
      <x:c r="P62" s="1" t="s">
        <x:v>38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26</x:v>
      </x:c>
      <x:c r="G63" s="1" t="s">
        <x:v>20</x:v>
      </x:c>
      <x:c r="H63" s="1" t="s">
        <x:v>27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30</x:v>
      </x:c>
      <x:c r="G64" s="1" t="s">
        <x:v>20</x:v>
      </x:c>
      <x:c r="H64" s="1" t="s">
        <x:v>31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34</x:v>
      </x:c>
      <x:c r="G65" s="1" t="s">
        <x:v>20</x:v>
      </x:c>
      <x:c r="H65" s="1" t="s">
        <x:v>35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66</x:v>
      </x:c>
      <x:c r="G66" s="1" t="s">
        <x:v>20</x:v>
      </x:c>
      <x:c r="H66" s="1" t="s">
        <x:v>67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84</x:v>
      </x:c>
      <x:c r="G67" s="1" t="s">
        <x:v>20</x:v>
      </x:c>
      <x:c r="H67" s="1" t="s">
        <x:v>85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73</x:v>
      </x:c>
      <x:c r="G68" s="1" t="s">
        <x:v>20</x:v>
      </x:c>
      <x:c r="H68" s="1" t="s">
        <x:v>67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90</x:v>
      </x:c>
      <x:c r="G69" s="1" t="s">
        <x:v>20</x:v>
      </x:c>
      <x:c r="H69" s="1" t="s">
        <x:v>60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61</x:v>
      </x:c>
      <x:c r="G70" s="1" t="s">
        <x:v>20</x:v>
      </x:c>
      <x:c r="H70" s="1" t="s">
        <x:v>91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92</x:v>
      </x:c>
      <x:c r="B71" s="2" t="s">
        <x:v>18</x:v>
      </x:c>
      <x:c r="C71" s="2">
        <x:f>HYPERLINK("https://team-v23u.testit.software/projects/142/tests/419", "рега- валид телефон -валид пароль-валид фио- будущая дата рож")</x:f>
      </x:c>
      <x:c r="D71" s="1" t="s">
        <x:v>19</x:v>
      </x:c>
      <x:c r="E71" s="1" t="s">
        <x:v>20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71</x:v>
      </x:c>
      <x:c r="L71" s="1" t="s">
        <x:v>21</x:v>
      </x:c>
      <x:c r="M71" s="1" t="s">
        <x:v>64</x:v>
      </x:c>
      <x:c r="N71" s="1" t="s">
        <x:v>93</x:v>
      </x:c>
      <x:c r="O71" s="1" t="s">
        <x:v>24</x:v>
      </x:c>
      <x:c r="P71" s="1" t="s">
        <x:v>38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26</x:v>
      </x:c>
      <x:c r="G72" s="1" t="s">
        <x:v>20</x:v>
      </x:c>
      <x:c r="H72" s="1" t="s">
        <x:v>27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30</x:v>
      </x:c>
      <x:c r="G73" s="1" t="s">
        <x:v>20</x:v>
      </x:c>
      <x:c r="H73" s="1" t="s">
        <x:v>31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34</x:v>
      </x:c>
      <x:c r="G74" s="1" t="s">
        <x:v>20</x:v>
      </x:c>
      <x:c r="H74" s="1" t="s">
        <x:v>35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66</x:v>
      </x:c>
      <x:c r="G75" s="1" t="s">
        <x:v>20</x:v>
      </x:c>
      <x:c r="H75" s="1" t="s">
        <x:v>67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84</x:v>
      </x:c>
      <x:c r="G76" s="1" t="s">
        <x:v>20</x:v>
      </x:c>
      <x:c r="H76" s="1" t="s">
        <x:v>85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73</x:v>
      </x:c>
      <x:c r="G77" s="1" t="s">
        <x:v>20</x:v>
      </x:c>
      <x:c r="H77" s="1" t="s">
        <x:v>67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74</x:v>
      </x:c>
      <x:c r="G78" s="1" t="s">
        <x:v>20</x:v>
      </x:c>
      <x:c r="H78" s="1" t="s">
        <x:v>75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94</x:v>
      </x:c>
      <x:c r="G79" s="1" t="s">
        <x:v>20</x:v>
      </x:c>
      <x:c r="H79" s="1" t="s">
        <x:v>95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96</x:v>
      </x:c>
      <x:c r="G80" s="1" t="s">
        <x:v>20</x:v>
      </x:c>
      <x:c r="H80" s="1" t="s">
        <x:v>97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61</x:v>
      </x:c>
      <x:c r="G81" s="1" t="s">
        <x:v>20</x:v>
      </x:c>
      <x:c r="H81" s="1" t="s">
        <x:v>98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99</x:v>
      </x:c>
      <x:c r="B82" s="2" t="s">
        <x:v>18</x:v>
      </x:c>
      <x:c r="C82" s="2">
        <x:f>HYPERLINK("https://team-v23u.testit.software/projects/142/tests/420", " рега- валид телефон -валид пароль-валид фио- норм дата рож-без пола")</x:f>
      </x:c>
      <x:c r="D82" s="1" t="s">
        <x:v>19</x:v>
      </x:c>
      <x:c r="E82" s="1" t="s">
        <x:v>20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71</x:v>
      </x:c>
      <x:c r="L82" s="1" t="s">
        <x:v>21</x:v>
      </x:c>
      <x:c r="M82" s="1" t="s">
        <x:v>22</x:v>
      </x:c>
      <x:c r="N82" s="1" t="s">
        <x:v>100</x:v>
      </x:c>
      <x:c r="O82" s="1" t="s">
        <x:v>24</x:v>
      </x:c>
      <x:c r="P82" s="1" t="s">
        <x:v>38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26</x:v>
      </x:c>
      <x:c r="G83" s="1" t="s">
        <x:v>20</x:v>
      </x:c>
      <x:c r="H83" s="1" t="s">
        <x:v>27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30</x:v>
      </x:c>
      <x:c r="G84" s="1" t="s">
        <x:v>20</x:v>
      </x:c>
      <x:c r="H84" s="1" t="s">
        <x:v>31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34</x:v>
      </x:c>
      <x:c r="G85" s="1" t="s">
        <x:v>20</x:v>
      </x:c>
      <x:c r="H85" s="1" t="s">
        <x:v>35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66</x:v>
      </x:c>
      <x:c r="G86" s="1" t="s">
        <x:v>20</x:v>
      </x:c>
      <x:c r="H86" s="1" t="s">
        <x:v>67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84</x:v>
      </x:c>
      <x:c r="G87" s="1" t="s">
        <x:v>20</x:v>
      </x:c>
      <x:c r="H87" s="1" t="s">
        <x:v>85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73</x:v>
      </x:c>
      <x:c r="G88" s="1" t="s">
        <x:v>20</x:v>
      </x:c>
      <x:c r="H88" s="1" t="s">
        <x:v>67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74</x:v>
      </x:c>
      <x:c r="G89" s="1" t="s">
        <x:v>20</x:v>
      </x:c>
      <x:c r="H89" s="1" t="s">
        <x:v>75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101</x:v>
      </x:c>
      <x:c r="G90" s="1" t="s">
        <x:v>20</x:v>
      </x:c>
      <x:c r="H90" s="1" t="s">
        <x:v>95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96</x:v>
      </x:c>
      <x:c r="G91" s="1" t="s">
        <x:v>20</x:v>
      </x:c>
      <x:c r="H91" s="1" t="s">
        <x:v>97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102</x:v>
      </x:c>
      <x:c r="G92" s="1" t="s">
        <x:v>20</x:v>
      </x:c>
      <x:c r="H92" s="1" t="s">
        <x:v>103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104</x:v>
      </x:c>
      <x:c r="B93" s="2" t="s">
        <x:v>18</x:v>
      </x:c>
      <x:c r="C93" s="2">
        <x:f>HYPERLINK("https://team-v23u.testit.software/projects/142/tests/421", " рега- все валид-нет галочек")</x:f>
      </x:c>
      <x:c r="D93" s="1" t="s">
        <x:v>19</x:v>
      </x:c>
      <x:c r="E93" s="1" t="s">
        <x:v>20</x:v>
      </x:c>
      <x:c r="F93" s="1" t="s">
        <x:v>20</x:v>
      </x:c>
      <x:c r="G93" s="1" t="s">
        <x:v>20</x:v>
      </x:c>
      <x:c r="H93" s="1" t="s">
        <x:v>20</x:v>
      </x:c>
      <x:c r="I93" s="1" t="s">
        <x:v>20</x:v>
      </x:c>
      <x:c r="J93" s="1" t="s">
        <x:v>20</x:v>
      </x:c>
      <x:c r="K93" s="1" t="s">
        <x:v>105</x:v>
      </x:c>
      <x:c r="L93" s="1" t="s">
        <x:v>21</x:v>
      </x:c>
      <x:c r="M93" s="1" t="s">
        <x:v>22</x:v>
      </x:c>
      <x:c r="N93" s="1" t="s">
        <x:v>106</x:v>
      </x:c>
      <x:c r="O93" s="1" t="s">
        <x:v>24</x:v>
      </x:c>
      <x:c r="P93" s="1" t="s">
        <x:v>38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26</x:v>
      </x:c>
      <x:c r="G94" s="1" t="s">
        <x:v>20</x:v>
      </x:c>
      <x:c r="H94" s="1" t="s">
        <x:v>27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30</x:v>
      </x:c>
      <x:c r="G95" s="1" t="s">
        <x:v>20</x:v>
      </x:c>
      <x:c r="H95" s="1" t="s">
        <x:v>31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34</x:v>
      </x:c>
      <x:c r="G96" s="1" t="s">
        <x:v>20</x:v>
      </x:c>
      <x:c r="H96" s="1" t="s">
        <x:v>35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107</x:v>
      </x:c>
      <x:c r="G97" s="1" t="s">
        <x:v>20</x:v>
      </x:c>
      <x:c r="H97" s="1" t="s">
        <x:v>67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84</x:v>
      </x:c>
      <x:c r="G98" s="1" t="s">
        <x:v>20</x:v>
      </x:c>
      <x:c r="H98" s="1" t="s">
        <x:v>85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73</x:v>
      </x:c>
      <x:c r="G99" s="1" t="s">
        <x:v>20</x:v>
      </x:c>
      <x:c r="H99" s="1" t="s">
        <x:v>67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74</x:v>
      </x:c>
      <x:c r="G100" s="1" t="s">
        <x:v>20</x:v>
      </x:c>
      <x:c r="H100" s="1" t="s">
        <x:v>75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101</x:v>
      </x:c>
      <x:c r="G101" s="1" t="s">
        <x:v>20</x:v>
      </x:c>
      <x:c r="H101" s="1" t="s">
        <x:v>95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108</x:v>
      </x:c>
      <x:c r="G102" s="1" t="s">
        <x:v>20</x:v>
      </x:c>
      <x:c r="H102" s="1" t="s">
        <x:v>109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61</x:v>
      </x:c>
      <x:c r="G103" s="1" t="s">
        <x:v>20</x:v>
      </x:c>
      <x:c r="H103" s="1" t="s">
        <x:v>110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111</x:v>
      </x:c>
      <x:c r="B104" s="2" t="s">
        <x:v>18</x:v>
      </x:c>
      <x:c r="C104" s="2">
        <x:f>HYPERLINK("https://team-v23u.testit.software/projects/142/tests/422", "рега- все валид ")</x:f>
      </x:c>
      <x:c r="D104" s="1" t="s">
        <x:v>19</x:v>
      </x:c>
      <x:c r="E104" s="1" t="s">
        <x:v>20</x:v>
      </x:c>
      <x:c r="F104" s="1" t="s">
        <x:v>20</x:v>
      </x:c>
      <x:c r="G104" s="1" t="s">
        <x:v>20</x:v>
      </x:c>
      <x:c r="H104" s="1" t="s">
        <x:v>20</x:v>
      </x:c>
      <x:c r="I104" s="1" t="s">
        <x:v>20</x:v>
      </x:c>
      <x:c r="J104" s="1" t="s">
        <x:v>20</x:v>
      </x:c>
      <x:c r="K104" s="1" t="s">
        <x:v>105</x:v>
      </x:c>
      <x:c r="L104" s="1" t="s">
        <x:v>21</x:v>
      </x:c>
      <x:c r="M104" s="1" t="s">
        <x:v>22</x:v>
      </x:c>
      <x:c r="N104" s="1" t="s">
        <x:v>112</x:v>
      </x:c>
      <x:c r="O104" s="1" t="s">
        <x:v>24</x:v>
      </x:c>
      <x:c r="P104" s="1" t="s">
        <x:v>38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26</x:v>
      </x:c>
      <x:c r="G105" s="1" t="s">
        <x:v>20</x:v>
      </x:c>
      <x:c r="H105" s="1" t="s">
        <x:v>27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30</x:v>
      </x:c>
      <x:c r="G106" s="1" t="s">
        <x:v>20</x:v>
      </x:c>
      <x:c r="H106" s="1" t="s">
        <x:v>31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34</x:v>
      </x:c>
      <x:c r="G107" s="1" t="s">
        <x:v>20</x:v>
      </x:c>
      <x:c r="H107" s="1" t="s">
        <x:v>35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107</x:v>
      </x:c>
      <x:c r="G108" s="1" t="s">
        <x:v>20</x:v>
      </x:c>
      <x:c r="H108" s="1" t="s">
        <x:v>67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84</x:v>
      </x:c>
      <x:c r="G109" s="1" t="s">
        <x:v>20</x:v>
      </x:c>
      <x:c r="H109" s="1" t="s">
        <x:v>85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73</x:v>
      </x:c>
      <x:c r="G110" s="1" t="s">
        <x:v>20</x:v>
      </x:c>
      <x:c r="H110" s="1" t="s">
        <x:v>67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74</x:v>
      </x:c>
      <x:c r="G111" s="1" t="s">
        <x:v>20</x:v>
      </x:c>
      <x:c r="H111" s="1" t="s">
        <x:v>75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101</x:v>
      </x:c>
      <x:c r="G112" s="1" t="s">
        <x:v>20</x:v>
      </x:c>
      <x:c r="H112" s="1" t="s">
        <x:v>95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113</x:v>
      </x:c>
      <x:c r="G113" s="1" t="s">
        <x:v>20</x:v>
      </x:c>
      <x:c r="H113" s="1" t="s">
        <x:v>114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61</x:v>
      </x:c>
      <x:c r="G114" s="1" t="s">
        <x:v>20</x:v>
      </x:c>
      <x:c r="H114" s="1" t="s">
        <x:v>115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116</x:v>
      </x:c>
      <x:c r="B115" s="2" t="s">
        <x:v>18</x:v>
      </x:c>
      <x:c r="C115" s="2">
        <x:f>HYPERLINK("https://team-v23u.testit.software/projects/142/tests/423", " рега- все валид -не подтверж аккаунт-заказ")</x:f>
      </x:c>
      <x:c r="D115" s="1" t="s">
        <x:v>19</x:v>
      </x:c>
      <x:c r="E115" s="1" t="s">
        <x:v>20</x:v>
      </x:c>
      <x:c r="F115" s="1" t="s">
        <x:v>20</x:v>
      </x:c>
      <x:c r="G115" s="1" t="s">
        <x:v>20</x:v>
      </x:c>
      <x:c r="H115" s="1" t="s">
        <x:v>20</x:v>
      </x:c>
      <x:c r="I115" s="1" t="s">
        <x:v>20</x:v>
      </x:c>
      <x:c r="J115" s="1" t="s">
        <x:v>20</x:v>
      </x:c>
      <x:c r="K115" s="1" t="s">
        <x:v>105</x:v>
      </x:c>
      <x:c r="L115" s="1" t="s">
        <x:v>21</x:v>
      </x:c>
      <x:c r="M115" s="1" t="s">
        <x:v>64</x:v>
      </x:c>
      <x:c r="N115" s="1" t="s">
        <x:v>117</x:v>
      </x:c>
      <x:c r="O115" s="1" t="s">
        <x:v>24</x:v>
      </x:c>
      <x:c r="P115" s="1" t="s">
        <x:v>118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26</x:v>
      </x:c>
      <x:c r="G116" s="1" t="s">
        <x:v>20</x:v>
      </x:c>
      <x:c r="H116" s="1" t="s">
        <x:v>27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30</x:v>
      </x:c>
      <x:c r="G117" s="1" t="s">
        <x:v>20</x:v>
      </x:c>
      <x:c r="H117" s="1" t="s">
        <x:v>31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34</x:v>
      </x:c>
      <x:c r="G118" s="1" t="s">
        <x:v>20</x:v>
      </x:c>
      <x:c r="H118" s="1" t="s">
        <x:v>35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107</x:v>
      </x:c>
      <x:c r="G119" s="1" t="s">
        <x:v>20</x:v>
      </x:c>
      <x:c r="H119" s="1" t="s">
        <x:v>67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84</x:v>
      </x:c>
      <x:c r="G120" s="1" t="s">
        <x:v>20</x:v>
      </x:c>
      <x:c r="H120" s="1" t="s">
        <x:v>85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73</x:v>
      </x:c>
      <x:c r="G121" s="1" t="s">
        <x:v>20</x:v>
      </x:c>
      <x:c r="H121" s="1" t="s">
        <x:v>67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74</x:v>
      </x:c>
      <x:c r="G122" s="1" t="s">
        <x:v>20</x:v>
      </x:c>
      <x:c r="H122" s="1" t="s">
        <x:v>75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101</x:v>
      </x:c>
      <x:c r="G123" s="1" t="s">
        <x:v>20</x:v>
      </x:c>
      <x:c r="H123" s="1" t="s">
        <x:v>95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113</x:v>
      </x:c>
      <x:c r="G124" s="1" t="s">
        <x:v>20</x:v>
      </x:c>
      <x:c r="H124" s="1" t="s">
        <x:v>114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61</x:v>
      </x:c>
      <x:c r="G125" s="1" t="s">
        <x:v>20</x:v>
      </x:c>
      <x:c r="H125" s="1" t="s">
        <x:v>119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120</x:v>
      </x:c>
      <x:c r="G126" s="1" t="s">
        <x:v>20</x:v>
      </x:c>
      <x:c r="H126" s="1" t="s">
        <x:v>121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122</x:v>
      </x:c>
      <x:c r="B127" s="2" t="s">
        <x:v>18</x:v>
      </x:c>
      <x:c r="C127" s="2">
        <x:f>HYPERLINK("https://team-v23u.testit.software/projects/142/tests/424", "рега- все валид -подтверж аккаунт")</x:f>
      </x:c>
      <x:c r="D127" s="1" t="s">
        <x:v>19</x:v>
      </x:c>
      <x:c r="E127" s="1" t="s">
        <x:v>20</x:v>
      </x:c>
      <x:c r="F127" s="1" t="s">
        <x:v>20</x:v>
      </x:c>
      <x:c r="G127" s="1" t="s">
        <x:v>20</x:v>
      </x:c>
      <x:c r="H127" s="1" t="s">
        <x:v>20</x:v>
      </x:c>
      <x:c r="I127" s="1" t="s">
        <x:v>20</x:v>
      </x:c>
      <x:c r="J127" s="1" t="s">
        <x:v>20</x:v>
      </x:c>
      <x:c r="K127" s="1" t="s">
        <x:v>105</x:v>
      </x:c>
      <x:c r="L127" s="1" t="s">
        <x:v>21</x:v>
      </x:c>
      <x:c r="M127" s="1" t="s">
        <x:v>22</x:v>
      </x:c>
      <x:c r="N127" s="1" t="s">
        <x:v>123</x:v>
      </x:c>
      <x:c r="O127" s="1" t="s">
        <x:v>24</x:v>
      </x:c>
      <x:c r="P127" s="1" t="s">
        <x:v>124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26</x:v>
      </x:c>
      <x:c r="G128" s="1" t="s">
        <x:v>20</x:v>
      </x:c>
      <x:c r="H128" s="1" t="s">
        <x:v>27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30</x:v>
      </x:c>
      <x:c r="G129" s="1" t="s">
        <x:v>20</x:v>
      </x:c>
      <x:c r="H129" s="1" t="s">
        <x:v>31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34</x:v>
      </x:c>
      <x:c r="G130" s="1" t="s">
        <x:v>20</x:v>
      </x:c>
      <x:c r="H130" s="1" t="s">
        <x:v>35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107</x:v>
      </x:c>
      <x:c r="G131" s="1" t="s">
        <x:v>20</x:v>
      </x:c>
      <x:c r="H131" s="1" t="s">
        <x:v>67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1" t="s">
        <x:v>84</x:v>
      </x:c>
      <x:c r="G132" s="1" t="s">
        <x:v>20</x:v>
      </x:c>
      <x:c r="H132" s="1" t="s">
        <x:v>85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73</x:v>
      </x:c>
      <x:c r="G133" s="1" t="s">
        <x:v>20</x:v>
      </x:c>
      <x:c r="H133" s="1" t="s">
        <x:v>67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74</x:v>
      </x:c>
      <x:c r="G134" s="1" t="s">
        <x:v>20</x:v>
      </x:c>
      <x:c r="H134" s="1" t="s">
        <x:v>75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101</x:v>
      </x:c>
      <x:c r="G135" s="1" t="s">
        <x:v>20</x:v>
      </x:c>
      <x:c r="H135" s="1" t="s">
        <x:v>95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113</x:v>
      </x:c>
      <x:c r="G136" s="1" t="s">
        <x:v>20</x:v>
      </x:c>
      <x:c r="H136" s="1" t="s">
        <x:v>114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61</x:v>
      </x:c>
      <x:c r="G137" s="1" t="s">
        <x:v>20</x:v>
      </x:c>
      <x:c r="H137" s="1" t="s">
        <x:v>119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20</x:v>
      </x:c>
      <x:c r="B138" s="2" t="s">
        <x:v>20</x:v>
      </x:c>
      <x:c r="C138" s="2" t="s">
        <x:v>20</x:v>
      </x:c>
      <x:c r="D138" s="1" t="s">
        <x:v>20</x:v>
      </x:c>
      <x:c r="E138" s="1" t="s">
        <x:v>20</x:v>
      </x:c>
      <x:c r="F138" s="1" t="s">
        <x:v>125</x:v>
      </x:c>
      <x:c r="G138" s="1" t="s">
        <x:v>20</x:v>
      </x:c>
      <x:c r="H138" s="1" t="s">
        <x:v>126</x:v>
      </x:c>
      <x:c r="I138" s="1" t="s">
        <x:v>20</x:v>
      </x:c>
      <x:c r="J138" s="1" t="s">
        <x:v>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20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127</x:v>
      </x:c>
      <x:c r="G139" s="1" t="s">
        <x:v>20</x:v>
      </x:c>
      <x:c r="H139" s="1" t="s">
        <x:v>128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129</x:v>
      </x:c>
      <x:c r="G140" s="1" t="s">
        <x:v>20</x:v>
      </x:c>
      <x:c r="H140" s="1" t="s">
        <x:v>130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131</x:v>
      </x:c>
      <x:c r="G141" s="1" t="s">
        <x:v>20</x:v>
      </x:c>
      <x:c r="H141" s="1" t="s">
        <x:v>132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20</x:v>
      </x:c>
      <x:c r="G142" s="1" t="s">
        <x:v>133</x:v>
      </x:c>
      <x:c r="H142" s="1" t="s">
        <x:v>20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134</x:v>
      </x:c>
      <x:c r="B143" s="2" t="s">
        <x:v>18</x:v>
      </x:c>
      <x:c r="C143" s="2">
        <x:f>HYPERLINK("https://team-v23u.testit.software/projects/142/tests/425", "авторизация email- не валид пароль")</x:f>
      </x:c>
      <x:c r="D143" s="1" t="s">
        <x:v>19</x:v>
      </x:c>
      <x:c r="E143" s="1" t="s">
        <x:v>20</x:v>
      </x:c>
      <x:c r="F143" s="1" t="s">
        <x:v>20</x:v>
      </x:c>
      <x:c r="G143" s="1" t="s">
        <x:v>20</x:v>
      </x:c>
      <x:c r="H143" s="1" t="s">
        <x:v>20</x:v>
      </x:c>
      <x:c r="I143" s="1" t="s">
        <x:v>20</x:v>
      </x:c>
      <x:c r="J143" s="1" t="s">
        <x:v>20</x:v>
      </x:c>
      <x:c r="K143" s="1" t="s">
        <x:v>135</x:v>
      </x:c>
      <x:c r="L143" s="1" t="s">
        <x:v>21</x:v>
      </x:c>
      <x:c r="M143" s="1" t="s">
        <x:v>22</x:v>
      </x:c>
      <x:c r="N143" s="1" t="s">
        <x:v>136</x:v>
      </x:c>
      <x:c r="O143" s="1" t="s">
        <x:v>24</x:v>
      </x:c>
      <x:c r="P143" s="1" t="s">
        <x:v>38</x:v>
      </x:c>
      <x:c r="Q143" s="1" t="s">
        <x:v>20</x:v>
      </x:c>
    </x:row>
    <x:row r="144" spans="1:17">
      <x:c r="A144" s="1" t="s">
        <x:v>20</x:v>
      </x:c>
      <x:c r="B144" s="2" t="s">
        <x:v>20</x:v>
      </x:c>
      <x:c r="C144" s="2" t="s">
        <x:v>20</x:v>
      </x:c>
      <x:c r="D144" s="1" t="s">
        <x:v>20</x:v>
      </x:c>
      <x:c r="E144" s="1" t="s">
        <x:v>20</x:v>
      </x:c>
      <x:c r="F144" s="1" t="s">
        <x:v>26</x:v>
      </x:c>
      <x:c r="G144" s="1" t="s">
        <x:v>20</x:v>
      </x:c>
      <x:c r="H144" s="1" t="s">
        <x:v>27</x:v>
      </x:c>
      <x:c r="I144" s="1" t="s">
        <x:v>20</x:v>
      </x:c>
      <x:c r="J144" s="1" t="s">
        <x:v>20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30</x:v>
      </x:c>
      <x:c r="G145" s="1" t="s">
        <x:v>20</x:v>
      </x:c>
      <x:c r="H145" s="1" t="s">
        <x:v>31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137</x:v>
      </x:c>
      <x:c r="G146" s="1" t="s">
        <x:v>20</x:v>
      </x:c>
      <x:c r="H146" s="1" t="s">
        <x:v>138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139</x:v>
      </x:c>
      <x:c r="G147" s="1" t="s">
        <x:v>20</x:v>
      </x:c>
      <x:c r="H147" s="1" t="s">
        <x:v>140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141</x:v>
      </x:c>
      <x:c r="B148" s="2" t="s">
        <x:v>18</x:v>
      </x:c>
      <x:c r="C148" s="2">
        <x:f>HYPERLINK("https://team-v23u.testit.software/projects/142/tests/426", "авторизация email- неизвестная  почта")</x:f>
      </x:c>
      <x:c r="D148" s="1" t="s">
        <x:v>19</x:v>
      </x:c>
      <x:c r="E148" s="1" t="s">
        <x:v>20</x:v>
      </x:c>
      <x:c r="F148" s="1" t="s">
        <x:v>20</x:v>
      </x:c>
      <x:c r="G148" s="1" t="s">
        <x:v>20</x:v>
      </x:c>
      <x:c r="H148" s="1" t="s">
        <x:v>20</x:v>
      </x:c>
      <x:c r="I148" s="1" t="s">
        <x:v>20</x:v>
      </x:c>
      <x:c r="J148" s="1" t="s">
        <x:v>20</x:v>
      </x:c>
      <x:c r="K148" s="1" t="s">
        <x:v>142</x:v>
      </x:c>
      <x:c r="L148" s="1" t="s">
        <x:v>21</x:v>
      </x:c>
      <x:c r="M148" s="1" t="s">
        <x:v>22</x:v>
      </x:c>
      <x:c r="N148" s="1" t="s">
        <x:v>143</x:v>
      </x:c>
      <x:c r="O148" s="1" t="s">
        <x:v>24</x:v>
      </x:c>
      <x:c r="P148" s="1" t="s">
        <x:v>38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26</x:v>
      </x:c>
      <x:c r="G149" s="1" t="s">
        <x:v>20</x:v>
      </x:c>
      <x:c r="H149" s="1" t="s">
        <x:v>27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30</x:v>
      </x:c>
      <x:c r="G150" s="1" t="s">
        <x:v>20</x:v>
      </x:c>
      <x:c r="H150" s="1" t="s">
        <x:v>31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20</x:v>
      </x:c>
      <x:c r="B151" s="2" t="s">
        <x:v>20</x:v>
      </x:c>
      <x:c r="C151" s="2" t="s">
        <x:v>20</x:v>
      </x:c>
      <x:c r="D151" s="1" t="s">
        <x:v>20</x:v>
      </x:c>
      <x:c r="E151" s="1" t="s">
        <x:v>20</x:v>
      </x:c>
      <x:c r="F151" s="1" t="s">
        <x:v>144</x:v>
      </x:c>
      <x:c r="G151" s="1" t="s">
        <x:v>20</x:v>
      </x:c>
      <x:c r="H151" s="1" t="s">
        <x:v>138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145</x:v>
      </x:c>
      <x:c r="G152" s="1" t="s">
        <x:v>20</x:v>
      </x:c>
      <x:c r="H152" s="1" t="s">
        <x:v>140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146</x:v>
      </x:c>
      <x:c r="B153" s="2" t="s">
        <x:v>18</x:v>
      </x:c>
      <x:c r="C153" s="2">
        <x:f>HYPERLINK("https://team-v23u.testit.software/projects/142/tests/427", "авторизация email- невалид почта")</x:f>
      </x:c>
      <x:c r="D153" s="1" t="s">
        <x:v>19</x:v>
      </x:c>
      <x:c r="E153" s="1" t="s">
        <x:v>20</x:v>
      </x:c>
      <x:c r="F153" s="1" t="s">
        <x:v>20</x:v>
      </x:c>
      <x:c r="G153" s="1" t="s">
        <x:v>20</x:v>
      </x:c>
      <x:c r="H153" s="1" t="s">
        <x:v>20</x:v>
      </x:c>
      <x:c r="I153" s="1" t="s">
        <x:v>20</x:v>
      </x:c>
      <x:c r="J153" s="1" t="s">
        <x:v>20</x:v>
      </x:c>
      <x:c r="K153" s="1" t="s">
        <x:v>71</x:v>
      </x:c>
      <x:c r="L153" s="1" t="s">
        <x:v>21</x:v>
      </x:c>
      <x:c r="M153" s="1" t="s">
        <x:v>22</x:v>
      </x:c>
      <x:c r="N153" s="1" t="s">
        <x:v>147</x:v>
      </x:c>
      <x:c r="O153" s="1" t="s">
        <x:v>24</x:v>
      </x:c>
      <x:c r="P153" s="1" t="s">
        <x:v>38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26</x:v>
      </x:c>
      <x:c r="G154" s="1" t="s">
        <x:v>20</x:v>
      </x:c>
      <x:c r="H154" s="1" t="s">
        <x:v>27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30</x:v>
      </x:c>
      <x:c r="G155" s="1" t="s">
        <x:v>20</x:v>
      </x:c>
      <x:c r="H155" s="1" t="s">
        <x:v>31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20</x:v>
      </x:c>
      <x:c r="F156" s="1" t="s">
        <x:v>148</x:v>
      </x:c>
      <x:c r="G156" s="1" t="s">
        <x:v>20</x:v>
      </x:c>
      <x:c r="H156" s="1" t="s">
        <x:v>67</x:v>
      </x:c>
      <x:c r="I156" s="1" t="s">
        <x:v>20</x:v>
      </x:c>
      <x:c r="J156" s="1" t="s">
        <x:v>20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145</x:v>
      </x:c>
      <x:c r="G157" s="1" t="s">
        <x:v>20</x:v>
      </x:c>
      <x:c r="H157" s="1" t="s">
        <x:v>140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149</x:v>
      </x:c>
      <x:c r="B158" s="2" t="s">
        <x:v>18</x:v>
      </x:c>
      <x:c r="C158" s="2">
        <x:f>HYPERLINK("https://team-v23u.testit.software/projects/142/tests/428", "авторизация email- все валид")</x:f>
      </x:c>
      <x:c r="D158" s="1" t="s">
        <x:v>19</x:v>
      </x:c>
      <x:c r="E158" s="1" t="s">
        <x:v>20</x:v>
      </x:c>
      <x:c r="F158" s="1" t="s">
        <x:v>20</x:v>
      </x:c>
      <x:c r="G158" s="1" t="s">
        <x:v>20</x:v>
      </x:c>
      <x:c r="H158" s="1" t="s">
        <x:v>20</x:v>
      </x:c>
      <x:c r="I158" s="1" t="s">
        <x:v>20</x:v>
      </x:c>
      <x:c r="J158" s="1" t="s">
        <x:v>20</x:v>
      </x:c>
      <x:c r="K158" s="1" t="s">
        <x:v>105</x:v>
      </x:c>
      <x:c r="L158" s="1" t="s">
        <x:v>21</x:v>
      </x:c>
      <x:c r="M158" s="1" t="s">
        <x:v>22</x:v>
      </x:c>
      <x:c r="N158" s="1" t="s">
        <x:v>150</x:v>
      </x:c>
      <x:c r="O158" s="1" t="s">
        <x:v>24</x:v>
      </x:c>
      <x:c r="P158" s="1" t="s">
        <x:v>38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26</x:v>
      </x:c>
      <x:c r="G159" s="1" t="s">
        <x:v>20</x:v>
      </x:c>
      <x:c r="H159" s="1" t="s">
        <x:v>27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30</x:v>
      </x:c>
      <x:c r="G160" s="1" t="s">
        <x:v>20</x:v>
      </x:c>
      <x:c r="H160" s="1" t="s">
        <x:v>31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1" t="s">
        <x:v>151</x:v>
      </x:c>
      <x:c r="G161" s="1" t="s">
        <x:v>20</x:v>
      </x:c>
      <x:c r="H161" s="1" t="s">
        <x:v>67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152</x:v>
      </x:c>
      <x:c r="G162" s="1" t="s">
        <x:v>20</x:v>
      </x:c>
      <x:c r="H162" s="1" t="s">
        <x:v>67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153</x:v>
      </x:c>
      <x:c r="G163" s="1" t="s">
        <x:v>20</x:v>
      </x:c>
      <x:c r="H163" s="1" t="s">
        <x:v>154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20</x:v>
      </x:c>
      <x:c r="G164" s="1" t="s">
        <x:v>133</x:v>
      </x:c>
      <x:c r="H164" s="1" t="s">
        <x:v>20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155</x:v>
      </x:c>
      <x:c r="B165" s="2" t="s">
        <x:v>18</x:v>
      </x:c>
      <x:c r="C165" s="2">
        <x:f>HYPERLINK("https://team-v23u.testit.software/projects/142/tests/429", "авторизация email- напомнить пароль-невалид")</x:f>
      </x:c>
      <x:c r="D165" s="1" t="s">
        <x:v>19</x:v>
      </x:c>
      <x:c r="E165" s="1" t="s">
        <x:v>20</x:v>
      </x:c>
      <x:c r="F165" s="1" t="s">
        <x:v>20</x:v>
      </x:c>
      <x:c r="G165" s="1" t="s">
        <x:v>20</x:v>
      </x:c>
      <x:c r="H165" s="1" t="s">
        <x:v>20</x:v>
      </x:c>
      <x:c r="I165" s="1" t="s">
        <x:v>20</x:v>
      </x:c>
      <x:c r="J165" s="1" t="s">
        <x:v>20</x:v>
      </x:c>
      <x:c r="K165" s="1" t="s">
        <x:v>20</x:v>
      </x:c>
      <x:c r="L165" s="1" t="s">
        <x:v>21</x:v>
      </x:c>
      <x:c r="M165" s="1" t="s">
        <x:v>22</x:v>
      </x:c>
      <x:c r="N165" s="1" t="s">
        <x:v>156</x:v>
      </x:c>
      <x:c r="O165" s="1" t="s">
        <x:v>24</x:v>
      </x:c>
      <x:c r="P165" s="1" t="s">
        <x:v>38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26</x:v>
      </x:c>
      <x:c r="G166" s="1" t="s">
        <x:v>20</x:v>
      </x:c>
      <x:c r="H166" s="1" t="s">
        <x:v>27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30</x:v>
      </x:c>
      <x:c r="G167" s="1" t="s">
        <x:v>20</x:v>
      </x:c>
      <x:c r="H167" s="1" t="s">
        <x:v>31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20</x:v>
      </x:c>
      <x:c r="F168" s="1" t="s">
        <x:v>157</x:v>
      </x:c>
      <x:c r="G168" s="1" t="s">
        <x:v>20</x:v>
      </x:c>
      <x:c r="H168" s="1" t="s">
        <x:v>158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20</x:v>
      </x:c>
      <x:c r="F169" s="1" t="s">
        <x:v>159</x:v>
      </x:c>
      <x:c r="G169" s="1" t="s">
        <x:v>20</x:v>
      </x:c>
      <x:c r="H169" s="1" t="s">
        <x:v>160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20</x:v>
      </x:c>
      <x:c r="G170" s="1" t="s">
        <x:v>133</x:v>
      </x:c>
      <x:c r="H170" s="1" t="s">
        <x:v>20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161</x:v>
      </x:c>
      <x:c r="B171" s="2" t="s">
        <x:v>18</x:v>
      </x:c>
      <x:c r="C171" s="2">
        <x:f>HYPERLINK("https://team-v23u.testit.software/projects/142/tests/430", " авторизация email- напомнить пароль")</x:f>
      </x:c>
      <x:c r="D171" s="1" t="s">
        <x:v>19</x:v>
      </x:c>
      <x:c r="E171" s="1" t="s">
        <x:v>20</x:v>
      </x:c>
      <x:c r="F171" s="1" t="s">
        <x:v>20</x:v>
      </x:c>
      <x:c r="G171" s="1" t="s">
        <x:v>20</x:v>
      </x:c>
      <x:c r="H171" s="1" t="s">
        <x:v>20</x:v>
      </x:c>
      <x:c r="I171" s="1" t="s">
        <x:v>20</x:v>
      </x:c>
      <x:c r="J171" s="1" t="s">
        <x:v>20</x:v>
      </x:c>
      <x:c r="K171" s="1" t="s">
        <x:v>105</x:v>
      </x:c>
      <x:c r="L171" s="1" t="s">
        <x:v>21</x:v>
      </x:c>
      <x:c r="M171" s="1" t="s">
        <x:v>64</x:v>
      </x:c>
      <x:c r="N171" s="1" t="s">
        <x:v>162</x:v>
      </x:c>
      <x:c r="O171" s="1" t="s">
        <x:v>24</x:v>
      </x:c>
      <x:c r="P171" s="1" t="s">
        <x:v>118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26</x:v>
      </x:c>
      <x:c r="G172" s="1" t="s">
        <x:v>20</x:v>
      </x:c>
      <x:c r="H172" s="1" t="s">
        <x:v>27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20</x:v>
      </x:c>
      <x:c r="F173" s="1" t="s">
        <x:v>30</x:v>
      </x:c>
      <x:c r="G173" s="1" t="s">
        <x:v>20</x:v>
      </x:c>
      <x:c r="H173" s="1" t="s">
        <x:v>31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20</x:v>
      </x:c>
      <x:c r="B174" s="2" t="s">
        <x:v>20</x:v>
      </x:c>
      <x:c r="C174" s="2" t="s">
        <x:v>20</x:v>
      </x:c>
      <x:c r="D174" s="1" t="s">
        <x:v>20</x:v>
      </x:c>
      <x:c r="E174" s="1" t="s">
        <x:v>20</x:v>
      </x:c>
      <x:c r="F174" s="1" t="s">
        <x:v>163</x:v>
      </x:c>
      <x:c r="G174" s="1" t="s">
        <x:v>20</x:v>
      </x:c>
      <x:c r="H174" s="1" t="s">
        <x:v>158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20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20</x:v>
      </x:c>
      <x:c r="F175" s="1" t="s">
        <x:v>164</x:v>
      </x:c>
      <x:c r="G175" s="1" t="s">
        <x:v>20</x:v>
      </x:c>
      <x:c r="H175" s="1" t="s">
        <x:v>165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166</x:v>
      </x:c>
      <x:c r="G176" s="1" t="s">
        <x:v>20</x:v>
      </x:c>
      <x:c r="H176" s="1" t="s">
        <x:v>167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168</x:v>
      </x:c>
      <x:c r="G177" s="1" t="s">
        <x:v>20</x:v>
      </x:c>
      <x:c r="H177" s="1" t="s">
        <x:v>169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20</x:v>
      </x:c>
      <x:c r="B178" s="2" t="s">
        <x:v>20</x:v>
      </x:c>
      <x:c r="C178" s="2" t="s">
        <x:v>20</x:v>
      </x:c>
      <x:c r="D178" s="1" t="s">
        <x:v>20</x:v>
      </x:c>
      <x:c r="E178" s="1" t="s">
        <x:v>20</x:v>
      </x:c>
      <x:c r="F178" s="1" t="s">
        <x:v>26</x:v>
      </x:c>
      <x:c r="G178" s="1" t="s">
        <x:v>20</x:v>
      </x:c>
      <x:c r="H178" s="1" t="s">
        <x:v>27</x:v>
      </x:c>
      <x:c r="I178" s="1" t="s">
        <x:v>20</x:v>
      </x:c>
      <x:c r="J178" s="1" t="s">
        <x:v>20</x:v>
      </x:c>
      <x:c r="K178" s="1" t="s">
        <x:v>20</x:v>
      </x:c>
      <x:c r="L178" s="1" t="s">
        <x:v>20</x:v>
      </x:c>
      <x:c r="M178" s="1" t="s">
        <x:v>20</x:v>
      </x:c>
      <x:c r="N178" s="1" t="s">
        <x:v>20</x:v>
      </x:c>
      <x:c r="O178" s="1" t="s">
        <x:v>20</x:v>
      </x:c>
      <x:c r="P178" s="1" t="s">
        <x:v>20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20</x:v>
      </x:c>
      <x:c r="F179" s="1" t="s">
        <x:v>30</x:v>
      </x:c>
      <x:c r="G179" s="1" t="s">
        <x:v>20</x:v>
      </x:c>
      <x:c r="H179" s="1" t="s">
        <x:v>31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170</x:v>
      </x:c>
      <x:c r="G180" s="1" t="s">
        <x:v>20</x:v>
      </x:c>
      <x:c r="H180" s="1" t="s">
        <x:v>67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20</x:v>
      </x:c>
      <x:c r="F181" s="1" t="s">
        <x:v>171</x:v>
      </x:c>
      <x:c r="G181" s="1" t="s">
        <x:v>20</x:v>
      </x:c>
      <x:c r="H181" s="1" t="s">
        <x:v>140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172</x:v>
      </x:c>
      <x:c r="G182" s="1" t="s">
        <x:v>20</x:v>
      </x:c>
      <x:c r="H182" s="1" t="s">
        <x:v>173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20</x:v>
      </x:c>
      <x:c r="B183" s="2" t="s">
        <x:v>20</x:v>
      </x:c>
      <x:c r="C183" s="2" t="s">
        <x:v>20</x:v>
      </x:c>
      <x:c r="D183" s="1" t="s">
        <x:v>20</x:v>
      </x:c>
      <x:c r="E183" s="1" t="s">
        <x:v>20</x:v>
      </x:c>
      <x:c r="F183" s="1" t="s">
        <x:v>174</x:v>
      </x:c>
      <x:c r="G183" s="1" t="s">
        <x:v>20</x:v>
      </x:c>
      <x:c r="H183" s="1" t="s">
        <x:v>154</x:v>
      </x:c>
      <x:c r="I183" s="1" t="s">
        <x:v>20</x:v>
      </x:c>
      <x:c r="J183" s="1" t="s">
        <x:v>20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20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20</x:v>
      </x:c>
      <x:c r="G184" s="1" t="s">
        <x:v>133</x:v>
      </x:c>
      <x:c r="H184" s="1" t="s">
        <x:v>20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175</x:v>
      </x:c>
      <x:c r="B185" s="2" t="s">
        <x:v>18</x:v>
      </x:c>
      <x:c r="C185" s="2">
        <x:f>HYPERLINK("https://team-v23u.testit.software/projects/142/tests/431", "авторизация телефон - не валид пароль")</x:f>
      </x:c>
      <x:c r="D185" s="1" t="s">
        <x:v>19</x:v>
      </x:c>
      <x:c r="E185" s="1" t="s">
        <x:v>20</x:v>
      </x:c>
      <x:c r="F185" s="1" t="s">
        <x:v>20</x:v>
      </x:c>
      <x:c r="G185" s="1" t="s">
        <x:v>20</x:v>
      </x:c>
      <x:c r="H185" s="1" t="s">
        <x:v>20</x:v>
      </x:c>
      <x:c r="I185" s="1" t="s">
        <x:v>20</x:v>
      </x:c>
      <x:c r="J185" s="1" t="s">
        <x:v>20</x:v>
      </x:c>
      <x:c r="K185" s="1" t="s">
        <x:v>176</x:v>
      </x:c>
      <x:c r="L185" s="1" t="s">
        <x:v>21</x:v>
      </x:c>
      <x:c r="M185" s="1" t="s">
        <x:v>22</x:v>
      </x:c>
      <x:c r="N185" s="1" t="s">
        <x:v>177</x:v>
      </x:c>
      <x:c r="O185" s="1" t="s">
        <x:v>24</x:v>
      </x:c>
      <x:c r="P185" s="1" t="s">
        <x:v>38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1" t="s">
        <x:v>26</x:v>
      </x:c>
      <x:c r="G186" s="1" t="s">
        <x:v>20</x:v>
      </x:c>
      <x:c r="H186" s="1" t="s">
        <x:v>27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20</x:v>
      </x:c>
      <x:c r="F187" s="1" t="s">
        <x:v>30</x:v>
      </x:c>
      <x:c r="G187" s="1" t="s">
        <x:v>20</x:v>
      </x:c>
      <x:c r="H187" s="1" t="s">
        <x:v>31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20</x:v>
      </x:c>
      <x:c r="F188" s="1" t="s">
        <x:v>178</x:v>
      </x:c>
      <x:c r="G188" s="1" t="s">
        <x:v>20</x:v>
      </x:c>
      <x:c r="H188" s="1" t="s">
        <x:v>67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179</x:v>
      </x:c>
      <x:c r="G189" s="1" t="s">
        <x:v>20</x:v>
      </x:c>
      <x:c r="H189" s="1" t="s">
        <x:v>67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153</x:v>
      </x:c>
      <x:c r="G190" s="1" t="s">
        <x:v>20</x:v>
      </x:c>
      <x:c r="H190" s="1" t="s">
        <x:v>180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20</x:v>
      </x:c>
      <x:c r="F191" s="1" t="s">
        <x:v>20</x:v>
      </x:c>
      <x:c r="G191" s="1" t="s">
        <x:v>133</x:v>
      </x:c>
      <x:c r="H191" s="1" t="s">
        <x:v>20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181</x:v>
      </x:c>
      <x:c r="B192" s="2" t="s">
        <x:v>18</x:v>
      </x:c>
      <x:c r="C192" s="2">
        <x:f>HYPERLINK("https://team-v23u.testit.software/projects/142/tests/432", "авторизация телефон - валид пароль")</x:f>
      </x:c>
      <x:c r="D192" s="1" t="s">
        <x:v>19</x:v>
      </x:c>
      <x:c r="E192" s="1" t="s">
        <x:v>20</x:v>
      </x:c>
      <x:c r="F192" s="1" t="s">
        <x:v>20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20</x:v>
      </x:c>
      <x:c r="L192" s="1" t="s">
        <x:v>21</x:v>
      </x:c>
      <x:c r="M192" s="1" t="s">
        <x:v>64</x:v>
      </x:c>
      <x:c r="N192" s="1" t="s">
        <x:v>182</x:v>
      </x:c>
      <x:c r="O192" s="1" t="s">
        <x:v>24</x:v>
      </x:c>
      <x:c r="P192" s="1" t="s">
        <x:v>38</x:v>
      </x:c>
      <x:c r="Q192" s="1" t="s">
        <x:v>20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20</x:v>
      </x:c>
      <x:c r="F193" s="1" t="s">
        <x:v>26</x:v>
      </x:c>
      <x:c r="G193" s="1" t="s">
        <x:v>20</x:v>
      </x:c>
      <x:c r="H193" s="1" t="s">
        <x:v>27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20</x:v>
      </x:c>
      <x:c r="F194" s="1" t="s">
        <x:v>30</x:v>
      </x:c>
      <x:c r="G194" s="1" t="s">
        <x:v>20</x:v>
      </x:c>
      <x:c r="H194" s="1" t="s">
        <x:v>31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183</x:v>
      </x:c>
      <x:c r="G195" s="1" t="s">
        <x:v>20</x:v>
      </x:c>
      <x:c r="H195" s="1" t="s">
        <x:v>67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184</x:v>
      </x:c>
      <x:c r="G196" s="1" t="s">
        <x:v>20</x:v>
      </x:c>
      <x:c r="H196" s="1" t="s">
        <x:v>67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20</x:v>
      </x:c>
      <x:c r="F197" s="1" t="s">
        <x:v>153</x:v>
      </x:c>
      <x:c r="G197" s="1" t="s">
        <x:v>20</x:v>
      </x:c>
      <x:c r="H197" s="1" t="s">
        <x:v>154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20</x:v>
      </x:c>
      <x:c r="F198" s="1" t="s">
        <x:v>20</x:v>
      </x:c>
      <x:c r="G198" s="1" t="s">
        <x:v>133</x:v>
      </x:c>
      <x:c r="H198" s="1" t="s">
        <x:v>20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185</x:v>
      </x:c>
      <x:c r="B199" s="2" t="s">
        <x:v>18</x:v>
      </x:c>
      <x:c r="C199" s="2">
        <x:f>HYPERLINK("https://team-v23u.testit.software/projects/142/tests/433", "рега- старый email")</x:f>
      </x:c>
      <x:c r="D199" s="1" t="s">
        <x:v>19</x:v>
      </x:c>
      <x:c r="E199" s="1" t="s">
        <x:v>20</x:v>
      </x:c>
      <x:c r="F199" s="1" t="s">
        <x:v>20</x:v>
      </x:c>
      <x:c r="G199" s="1" t="s">
        <x:v>20</x:v>
      </x:c>
      <x:c r="H199" s="1" t="s">
        <x:v>20</x:v>
      </x:c>
      <x:c r="I199" s="1" t="s">
        <x:v>20</x:v>
      </x:c>
      <x:c r="J199" s="1" t="s">
        <x:v>20</x:v>
      </x:c>
      <x:c r="K199" s="1" t="s">
        <x:v>105</x:v>
      </x:c>
      <x:c r="L199" s="1" t="s">
        <x:v>21</x:v>
      </x:c>
      <x:c r="M199" s="1" t="s">
        <x:v>22</x:v>
      </x:c>
      <x:c r="N199" s="1" t="s">
        <x:v>186</x:v>
      </x:c>
      <x:c r="O199" s="1" t="s">
        <x:v>24</x:v>
      </x:c>
      <x:c r="P199" s="1" t="s">
        <x:v>118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20</x:v>
      </x:c>
      <x:c r="F200" s="1" t="s">
        <x:v>26</x:v>
      </x:c>
      <x:c r="G200" s="1" t="s">
        <x:v>20</x:v>
      </x:c>
      <x:c r="H200" s="1" t="s">
        <x:v>27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1" t="s">
        <x:v>20</x:v>
      </x:c>
      <x:c r="F201" s="1" t="s">
        <x:v>30</x:v>
      </x:c>
      <x:c r="G201" s="1" t="s">
        <x:v>20</x:v>
      </x:c>
      <x:c r="H201" s="1" t="s">
        <x:v>31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1" t="s">
        <x:v>34</x:v>
      </x:c>
      <x:c r="G202" s="1" t="s">
        <x:v>20</x:v>
      </x:c>
      <x:c r="H202" s="1" t="s">
        <x:v>35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20</x:v>
      </x:c>
      <x:c r="B203" s="2" t="s">
        <x:v>20</x:v>
      </x:c>
      <x:c r="C203" s="2" t="s">
        <x:v>20</x:v>
      </x:c>
      <x:c r="D203" s="1" t="s">
        <x:v>20</x:v>
      </x:c>
      <x:c r="E203" s="1" t="s">
        <x:v>20</x:v>
      </x:c>
      <x:c r="F203" s="1" t="s">
        <x:v>187</x:v>
      </x:c>
      <x:c r="G203" s="1" t="s">
        <x:v>20</x:v>
      </x:c>
      <x:c r="H203" s="1" t="s">
        <x:v>67</x:v>
      </x:c>
      <x:c r="I203" s="1" t="s">
        <x:v>20</x:v>
      </x:c>
      <x:c r="J203" s="1" t="s">
        <x:v>20</x:v>
      </x:c>
      <x:c r="K203" s="1" t="s">
        <x:v>20</x:v>
      </x:c>
      <x:c r="L203" s="1" t="s">
        <x:v>20</x:v>
      </x:c>
      <x:c r="M203" s="1" t="s">
        <x:v>20</x:v>
      </x:c>
      <x:c r="N203" s="1" t="s">
        <x:v>20</x:v>
      </x:c>
      <x:c r="O203" s="1" t="s">
        <x:v>20</x:v>
      </x:c>
      <x:c r="P203" s="1" t="s">
        <x:v>20</x:v>
      </x:c>
      <x:c r="Q203" s="1" t="s">
        <x:v>20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20</x:v>
      </x:c>
      <x:c r="F204" s="1" t="s">
        <x:v>84</x:v>
      </x:c>
      <x:c r="G204" s="1" t="s">
        <x:v>20</x:v>
      </x:c>
      <x:c r="H204" s="1" t="s">
        <x:v>85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20</x:v>
      </x:c>
      <x:c r="B205" s="2" t="s">
        <x:v>20</x:v>
      </x:c>
      <x:c r="C205" s="2" t="s">
        <x:v>20</x:v>
      </x:c>
      <x:c r="D205" s="1" t="s">
        <x:v>20</x:v>
      </x:c>
      <x:c r="E205" s="1" t="s">
        <x:v>20</x:v>
      </x:c>
      <x:c r="F205" s="1" t="s">
        <x:v>73</x:v>
      </x:c>
      <x:c r="G205" s="1" t="s">
        <x:v>20</x:v>
      </x:c>
      <x:c r="H205" s="1" t="s">
        <x:v>67</x:v>
      </x:c>
      <x:c r="I205" s="1" t="s">
        <x:v>20</x:v>
      </x:c>
      <x:c r="J205" s="1" t="s">
        <x:v>20</x:v>
      </x:c>
      <x:c r="K205" s="1" t="s">
        <x:v>20</x:v>
      </x:c>
      <x:c r="L205" s="1" t="s">
        <x:v>20</x:v>
      </x:c>
      <x:c r="M205" s="1" t="s">
        <x:v>20</x:v>
      </x:c>
      <x:c r="N205" s="1" t="s">
        <x:v>20</x:v>
      </x:c>
      <x:c r="O205" s="1" t="s">
        <x:v>20</x:v>
      </x:c>
      <x:c r="P205" s="1" t="s">
        <x:v>20</x:v>
      </x:c>
      <x:c r="Q205" s="1" t="s">
        <x:v>20</x:v>
      </x:c>
    </x:row>
    <x:row r="206" spans="1:17">
      <x:c r="A206" s="1" t="s">
        <x:v>20</x:v>
      </x:c>
      <x:c r="B206" s="2" t="s">
        <x:v>20</x:v>
      </x:c>
      <x:c r="C206" s="2" t="s">
        <x:v>20</x:v>
      </x:c>
      <x:c r="D206" s="1" t="s">
        <x:v>20</x:v>
      </x:c>
      <x:c r="E206" s="1" t="s">
        <x:v>20</x:v>
      </x:c>
      <x:c r="F206" s="1" t="s">
        <x:v>74</x:v>
      </x:c>
      <x:c r="G206" s="1" t="s">
        <x:v>20</x:v>
      </x:c>
      <x:c r="H206" s="1" t="s">
        <x:v>75</x:v>
      </x:c>
      <x:c r="I206" s="1" t="s">
        <x:v>20</x:v>
      </x:c>
      <x:c r="J206" s="1" t="s">
        <x:v>20</x:v>
      </x:c>
      <x:c r="K206" s="1" t="s">
        <x:v>20</x:v>
      </x:c>
      <x:c r="L206" s="1" t="s">
        <x:v>20</x:v>
      </x:c>
      <x:c r="M206" s="1" t="s">
        <x:v>20</x:v>
      </x:c>
      <x:c r="N206" s="1" t="s">
        <x:v>20</x:v>
      </x:c>
      <x:c r="O206" s="1" t="s">
        <x:v>20</x:v>
      </x:c>
      <x:c r="P206" s="1" t="s">
        <x:v>20</x:v>
      </x:c>
      <x:c r="Q206" s="1" t="s">
        <x:v>20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20</x:v>
      </x:c>
      <x:c r="F207" s="1" t="s">
        <x:v>101</x:v>
      </x:c>
      <x:c r="G207" s="1" t="s">
        <x:v>20</x:v>
      </x:c>
      <x:c r="H207" s="1" t="s">
        <x:v>95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  <x:row r="208" spans="1:17">
      <x:c r="A208" s="1" t="s">
        <x:v>20</x:v>
      </x:c>
      <x:c r="B208" s="2" t="s">
        <x:v>20</x:v>
      </x:c>
      <x:c r="C208" s="2" t="s">
        <x:v>20</x:v>
      </x:c>
      <x:c r="D208" s="1" t="s">
        <x:v>20</x:v>
      </x:c>
      <x:c r="E208" s="1" t="s">
        <x:v>20</x:v>
      </x:c>
      <x:c r="F208" s="1" t="s">
        <x:v>113</x:v>
      </x:c>
      <x:c r="G208" s="1" t="s">
        <x:v>20</x:v>
      </x:c>
      <x:c r="H208" s="1" t="s">
        <x:v>114</x:v>
      </x:c>
      <x:c r="I208" s="1" t="s">
        <x:v>20</x:v>
      </x:c>
      <x:c r="J208" s="1" t="s">
        <x:v>20</x:v>
      </x:c>
      <x:c r="K208" s="1" t="s">
        <x:v>20</x:v>
      </x:c>
      <x:c r="L208" s="1" t="s">
        <x:v>20</x:v>
      </x:c>
      <x:c r="M208" s="1" t="s">
        <x:v>20</x:v>
      </x:c>
      <x:c r="N208" s="1" t="s">
        <x:v>20</x:v>
      </x:c>
      <x:c r="O208" s="1" t="s">
        <x:v>20</x:v>
      </x:c>
      <x:c r="P208" s="1" t="s">
        <x:v>20</x:v>
      </x:c>
      <x:c r="Q208" s="1" t="s">
        <x:v>20</x:v>
      </x:c>
    </x:row>
    <x:row r="209" spans="1:17">
      <x:c r="A209" s="1" t="s">
        <x:v>20</x:v>
      </x:c>
      <x:c r="B209" s="2" t="s">
        <x:v>20</x:v>
      </x:c>
      <x:c r="C209" s="2" t="s">
        <x:v>20</x:v>
      </x:c>
      <x:c r="D209" s="1" t="s">
        <x:v>20</x:v>
      </x:c>
      <x:c r="E209" s="1" t="s">
        <x:v>20</x:v>
      </x:c>
      <x:c r="F209" s="1" t="s">
        <x:v>188</x:v>
      </x:c>
      <x:c r="G209" s="1" t="s">
        <x:v>20</x:v>
      </x:c>
      <x:c r="H209" s="1" t="s">
        <x:v>189</x:v>
      </x:c>
      <x:c r="I209" s="1" t="s">
        <x:v>20</x:v>
      </x:c>
      <x:c r="J209" s="1" t="s">
        <x:v>20</x:v>
      </x:c>
      <x:c r="K209" s="1" t="s">
        <x:v>20</x:v>
      </x:c>
      <x:c r="L209" s="1" t="s">
        <x:v>20</x:v>
      </x:c>
      <x:c r="M209" s="1" t="s">
        <x:v>20</x:v>
      </x:c>
      <x:c r="N209" s="1" t="s">
        <x:v>20</x:v>
      </x:c>
      <x:c r="O209" s="1" t="s">
        <x:v>20</x:v>
      </x:c>
      <x:c r="P209" s="1" t="s">
        <x:v>20</x:v>
      </x:c>
      <x:c r="Q209" s="1" t="s">
        <x:v>20</x:v>
      </x:c>
    </x:row>
    <x:row r="210" spans="1:17">
      <x:c r="A210" s="1" t="s">
        <x:v>20</x:v>
      </x:c>
      <x:c r="B210" s="2" t="s">
        <x:v>20</x:v>
      </x:c>
      <x:c r="C210" s="2" t="s">
        <x:v>20</x:v>
      </x:c>
      <x:c r="D210" s="1" t="s">
        <x:v>20</x:v>
      </x:c>
      <x:c r="E210" s="1" t="s">
        <x:v>20</x:v>
      </x:c>
      <x:c r="F210" s="1" t="s">
        <x:v>61</x:v>
      </x:c>
      <x:c r="G210" s="1" t="s">
        <x:v>20</x:v>
      </x:c>
      <x:c r="H210" s="1" t="s">
        <x:v>190</x:v>
      </x:c>
      <x:c r="I210" s="1" t="s">
        <x:v>20</x:v>
      </x:c>
      <x:c r="J210" s="1" t="s">
        <x:v>20</x:v>
      </x:c>
      <x:c r="K210" s="1" t="s">
        <x:v>20</x:v>
      </x:c>
      <x:c r="L210" s="1" t="s">
        <x:v>20</x:v>
      </x:c>
      <x:c r="M210" s="1" t="s">
        <x:v>20</x:v>
      </x:c>
      <x:c r="N210" s="1" t="s">
        <x:v>20</x:v>
      </x:c>
      <x:c r="O210" s="1" t="s">
        <x:v>20</x:v>
      </x:c>
      <x:c r="P210" s="1" t="s">
        <x:v>20</x:v>
      </x:c>
      <x:c r="Q210" s="1" t="s">
        <x:v>20</x:v>
      </x:c>
    </x:row>
    <x:row r="211" spans="1:17">
      <x:c r="A211" s="1" t="s">
        <x:v>191</x:v>
      </x:c>
      <x:c r="B211" s="2" t="s">
        <x:v>18</x:v>
      </x:c>
      <x:c r="C211" s="2">
        <x:f>HYPERLINK("https://team-v23u.testit.software/projects/142/tests/562", "восст доступа")</x:f>
      </x:c>
      <x:c r="D211" s="1" t="s">
        <x:v>19</x:v>
      </x:c>
      <x:c r="E211" s="1" t="s">
        <x:v>20</x:v>
      </x:c>
      <x:c r="F211" s="1" t="s">
        <x:v>20</x:v>
      </x:c>
      <x:c r="G211" s="1" t="s">
        <x:v>20</x:v>
      </x:c>
      <x:c r="H211" s="1" t="s">
        <x:v>20</x:v>
      </x:c>
      <x:c r="I211" s="1" t="s">
        <x:v>20</x:v>
      </x:c>
      <x:c r="J211" s="1" t="s">
        <x:v>20</x:v>
      </x:c>
      <x:c r="K211" s="1" t="s">
        <x:v>192</x:v>
      </x:c>
      <x:c r="L211" s="1" t="s">
        <x:v>21</x:v>
      </x:c>
      <x:c r="M211" s="1" t="s">
        <x:v>22</x:v>
      </x:c>
      <x:c r="N211" s="1" t="s">
        <x:v>193</x:v>
      </x:c>
      <x:c r="O211" s="1" t="s">
        <x:v>24</x:v>
      </x:c>
      <x:c r="P211" s="1" t="s">
        <x:v>124</x:v>
      </x:c>
      <x:c r="Q211" s="1" t="s">
        <x:v>194</x:v>
      </x:c>
    </x:row>
    <x:row r="212" spans="1:17">
      <x:c r="A212" s="1" t="s">
        <x:v>20</x:v>
      </x:c>
      <x:c r="B212" s="2" t="s">
        <x:v>20</x:v>
      </x:c>
      <x:c r="C212" s="2" t="s">
        <x:v>20</x:v>
      </x:c>
      <x:c r="D212" s="1" t="s">
        <x:v>20</x:v>
      </x:c>
      <x:c r="E212" s="1" t="s">
        <x:v>195</x:v>
      </x:c>
      <x:c r="F212" s="1" t="s">
        <x:v>20</x:v>
      </x:c>
      <x:c r="G212" s="1" t="s">
        <x:v>20</x:v>
      </x:c>
      <x:c r="H212" s="1" t="s">
        <x:v>20</x:v>
      </x:c>
      <x:c r="I212" s="1" t="s">
        <x:v>20</x:v>
      </x:c>
      <x:c r="J212" s="1" t="s">
        <x:v>20</x:v>
      </x:c>
      <x:c r="K212" s="1" t="s">
        <x:v>20</x:v>
      </x:c>
      <x:c r="L212" s="1" t="s">
        <x:v>20</x:v>
      </x:c>
      <x:c r="M212" s="1" t="s">
        <x:v>20</x:v>
      </x:c>
      <x:c r="N212" s="1" t="s">
        <x:v>20</x:v>
      </x:c>
      <x:c r="O212" s="1" t="s">
        <x:v>20</x:v>
      </x:c>
      <x:c r="P212" s="1" t="s">
        <x:v>20</x:v>
      </x:c>
      <x:c r="Q212" s="1" t="s">
        <x:v>20</x:v>
      </x:c>
    </x:row>
    <x:row r="213" spans="1:17">
      <x:c r="A213" s="1" t="s">
        <x:v>20</x:v>
      </x:c>
      <x:c r="B213" s="2" t="s">
        <x:v>20</x:v>
      </x:c>
      <x:c r="C213" s="2" t="s">
        <x:v>20</x:v>
      </x:c>
      <x:c r="D213" s="1" t="s">
        <x:v>20</x:v>
      </x:c>
      <x:c r="E213" s="1" t="s">
        <x:v>20</x:v>
      </x:c>
      <x:c r="F213" s="1" t="s">
        <x:v>26</x:v>
      </x:c>
      <x:c r="G213" s="1" t="s">
        <x:v>20</x:v>
      </x:c>
      <x:c r="H213" s="1" t="s">
        <x:v>27</x:v>
      </x:c>
      <x:c r="I213" s="1" t="s">
        <x:v>20</x:v>
      </x:c>
      <x:c r="J213" s="1" t="s">
        <x:v>20</x:v>
      </x:c>
      <x:c r="K213" s="1" t="s">
        <x:v>20</x:v>
      </x:c>
      <x:c r="L213" s="1" t="s">
        <x:v>20</x:v>
      </x:c>
      <x:c r="M213" s="1" t="s">
        <x:v>20</x:v>
      </x:c>
      <x:c r="N213" s="1" t="s">
        <x:v>20</x:v>
      </x:c>
      <x:c r="O213" s="1" t="s">
        <x:v>20</x:v>
      </x:c>
      <x:c r="P213" s="1" t="s">
        <x:v>20</x:v>
      </x:c>
      <x:c r="Q213" s="1" t="s">
        <x:v>20</x:v>
      </x:c>
    </x:row>
    <x:row r="214" spans="1:17">
      <x:c r="A214" s="1" t="s">
        <x:v>20</x:v>
      </x:c>
      <x:c r="B214" s="2" t="s">
        <x:v>20</x:v>
      </x:c>
      <x:c r="C214" s="2" t="s">
        <x:v>20</x:v>
      </x:c>
      <x:c r="D214" s="1" t="s">
        <x:v>20</x:v>
      </x:c>
      <x:c r="E214" s="1" t="s">
        <x:v>20</x:v>
      </x:c>
      <x:c r="F214" s="1" t="s">
        <x:v>30</x:v>
      </x:c>
      <x:c r="G214" s="1" t="s">
        <x:v>20</x:v>
      </x:c>
      <x:c r="H214" s="1" t="s">
        <x:v>31</x:v>
      </x:c>
      <x:c r="I214" s="1" t="s">
        <x:v>20</x:v>
      </x:c>
      <x:c r="J214" s="1" t="s">
        <x:v>20</x:v>
      </x:c>
      <x:c r="K214" s="1" t="s">
        <x:v>20</x:v>
      </x:c>
      <x:c r="L214" s="1" t="s">
        <x:v>20</x:v>
      </x:c>
      <x:c r="M214" s="1" t="s">
        <x:v>20</x:v>
      </x:c>
      <x:c r="N214" s="1" t="s">
        <x:v>20</x:v>
      </x:c>
      <x:c r="O214" s="1" t="s">
        <x:v>20</x:v>
      </x:c>
      <x:c r="P214" s="1" t="s">
        <x:v>20</x:v>
      </x:c>
      <x:c r="Q214" s="1" t="s">
        <x:v>20</x:v>
      </x:c>
    </x:row>
    <x:row r="215" spans="1:17">
      <x:c r="A215" s="1" t="s">
        <x:v>20</x:v>
      </x:c>
      <x:c r="B215" s="2" t="s">
        <x:v>20</x:v>
      </x:c>
      <x:c r="C215" s="2" t="s">
        <x:v>20</x:v>
      </x:c>
      <x:c r="D215" s="1" t="s">
        <x:v>20</x:v>
      </x:c>
      <x:c r="E215" s="1" t="s">
        <x:v>20</x:v>
      </x:c>
      <x:c r="F215" s="1" t="s">
        <x:v>34</x:v>
      </x:c>
      <x:c r="G215" s="1" t="s">
        <x:v>20</x:v>
      </x:c>
      <x:c r="H215" s="1" t="s">
        <x:v>35</x:v>
      </x:c>
      <x:c r="I215" s="1" t="s">
        <x:v>20</x:v>
      </x:c>
      <x:c r="J215" s="1" t="s">
        <x:v>20</x:v>
      </x:c>
      <x:c r="K215" s="1" t="s">
        <x:v>20</x:v>
      </x:c>
      <x:c r="L215" s="1" t="s">
        <x:v>20</x:v>
      </x:c>
      <x:c r="M215" s="1" t="s">
        <x:v>20</x:v>
      </x:c>
      <x:c r="N215" s="1" t="s">
        <x:v>20</x:v>
      </x:c>
      <x:c r="O215" s="1" t="s">
        <x:v>20</x:v>
      </x:c>
      <x:c r="P215" s="1" t="s">
        <x:v>20</x:v>
      </x:c>
      <x:c r="Q215" s="1" t="s">
        <x:v>20</x:v>
      </x:c>
    </x:row>
    <x:row r="216" spans="1:17">
      <x:c r="A216" s="1" t="s">
        <x:v>20</x:v>
      </x:c>
      <x:c r="B216" s="2" t="s">
        <x:v>20</x:v>
      </x:c>
      <x:c r="C216" s="2" t="s">
        <x:v>20</x:v>
      </x:c>
      <x:c r="D216" s="1" t="s">
        <x:v>20</x:v>
      </x:c>
      <x:c r="E216" s="1" t="s">
        <x:v>20</x:v>
      </x:c>
      <x:c r="F216" s="1" t="s">
        <x:v>107</x:v>
      </x:c>
      <x:c r="G216" s="1" t="s">
        <x:v>20</x:v>
      </x:c>
      <x:c r="H216" s="1" t="s">
        <x:v>67</x:v>
      </x:c>
      <x:c r="I216" s="1" t="s">
        <x:v>20</x:v>
      </x:c>
      <x:c r="J216" s="1" t="s">
        <x:v>20</x:v>
      </x:c>
      <x:c r="K216" s="1" t="s">
        <x:v>20</x:v>
      </x:c>
      <x:c r="L216" s="1" t="s">
        <x:v>20</x:v>
      </x:c>
      <x:c r="M216" s="1" t="s">
        <x:v>20</x:v>
      </x:c>
      <x:c r="N216" s="1" t="s">
        <x:v>20</x:v>
      </x:c>
      <x:c r="O216" s="1" t="s">
        <x:v>20</x:v>
      </x:c>
      <x:c r="P216" s="1" t="s">
        <x:v>20</x:v>
      </x:c>
      <x:c r="Q216" s="1" t="s">
        <x:v>20</x:v>
      </x:c>
    </x:row>
    <x:row r="217" spans="1:17">
      <x:c r="A217" s="1" t="s">
        <x:v>20</x:v>
      </x:c>
      <x:c r="B217" s="2" t="s">
        <x:v>20</x:v>
      </x:c>
      <x:c r="C217" s="2" t="s">
        <x:v>20</x:v>
      </x:c>
      <x:c r="D217" s="1" t="s">
        <x:v>20</x:v>
      </x:c>
      <x:c r="E217" s="1" t="s">
        <x:v>20</x:v>
      </x:c>
      <x:c r="F217" s="1" t="s">
        <x:v>84</x:v>
      </x:c>
      <x:c r="G217" s="1" t="s">
        <x:v>20</x:v>
      </x:c>
      <x:c r="H217" s="1" t="s">
        <x:v>85</x:v>
      </x:c>
      <x:c r="I217" s="1" t="s">
        <x:v>20</x:v>
      </x:c>
      <x:c r="J217" s="1" t="s">
        <x:v>20</x:v>
      </x:c>
      <x:c r="K217" s="1" t="s">
        <x:v>20</x:v>
      </x:c>
      <x:c r="L217" s="1" t="s">
        <x:v>20</x:v>
      </x:c>
      <x:c r="M217" s="1" t="s">
        <x:v>20</x:v>
      </x:c>
      <x:c r="N217" s="1" t="s">
        <x:v>20</x:v>
      </x:c>
      <x:c r="O217" s="1" t="s">
        <x:v>20</x:v>
      </x:c>
      <x:c r="P217" s="1" t="s">
        <x:v>20</x:v>
      </x:c>
      <x:c r="Q217" s="1" t="s">
        <x:v>20</x:v>
      </x:c>
    </x:row>
    <x:row r="218" spans="1:17">
      <x:c r="A218" s="1" t="s">
        <x:v>20</x:v>
      </x:c>
      <x:c r="B218" s="2" t="s">
        <x:v>20</x:v>
      </x:c>
      <x:c r="C218" s="2" t="s">
        <x:v>20</x:v>
      </x:c>
      <x:c r="D218" s="1" t="s">
        <x:v>20</x:v>
      </x:c>
      <x:c r="E218" s="1" t="s">
        <x:v>20</x:v>
      </x:c>
      <x:c r="F218" s="1" t="s">
        <x:v>73</x:v>
      </x:c>
      <x:c r="G218" s="1" t="s">
        <x:v>20</x:v>
      </x:c>
      <x:c r="H218" s="1" t="s">
        <x:v>67</x:v>
      </x:c>
      <x:c r="I218" s="1" t="s">
        <x:v>20</x:v>
      </x:c>
      <x:c r="J218" s="1" t="s">
        <x:v>20</x:v>
      </x:c>
      <x:c r="K218" s="1" t="s">
        <x:v>20</x:v>
      </x:c>
      <x:c r="L218" s="1" t="s">
        <x:v>20</x:v>
      </x:c>
      <x:c r="M218" s="1" t="s">
        <x:v>20</x:v>
      </x:c>
      <x:c r="N218" s="1" t="s">
        <x:v>20</x:v>
      </x:c>
      <x:c r="O218" s="1" t="s">
        <x:v>20</x:v>
      </x:c>
      <x:c r="P218" s="1" t="s">
        <x:v>20</x:v>
      </x:c>
      <x:c r="Q218" s="1" t="s">
        <x:v>20</x:v>
      </x:c>
    </x:row>
    <x:row r="219" spans="1:17">
      <x:c r="A219" s="1" t="s">
        <x:v>20</x:v>
      </x:c>
      <x:c r="B219" s="2" t="s">
        <x:v>20</x:v>
      </x:c>
      <x:c r="C219" s="2" t="s">
        <x:v>20</x:v>
      </x:c>
      <x:c r="D219" s="1" t="s">
        <x:v>20</x:v>
      </x:c>
      <x:c r="E219" s="1" t="s">
        <x:v>20</x:v>
      </x:c>
      <x:c r="F219" s="1" t="s">
        <x:v>74</x:v>
      </x:c>
      <x:c r="G219" s="1" t="s">
        <x:v>20</x:v>
      </x:c>
      <x:c r="H219" s="1" t="s">
        <x:v>75</x:v>
      </x:c>
      <x:c r="I219" s="1" t="s">
        <x:v>20</x:v>
      </x:c>
      <x:c r="J219" s="1" t="s">
        <x:v>20</x:v>
      </x:c>
      <x:c r="K219" s="1" t="s">
        <x:v>20</x:v>
      </x:c>
      <x:c r="L219" s="1" t="s">
        <x:v>20</x:v>
      </x:c>
      <x:c r="M219" s="1" t="s">
        <x:v>20</x:v>
      </x:c>
      <x:c r="N219" s="1" t="s">
        <x:v>20</x:v>
      </x:c>
      <x:c r="O219" s="1" t="s">
        <x:v>20</x:v>
      </x:c>
      <x:c r="P219" s="1" t="s">
        <x:v>20</x:v>
      </x:c>
      <x:c r="Q219" s="1" t="s">
        <x:v>20</x:v>
      </x:c>
    </x:row>
    <x:row r="220" spans="1:17">
      <x:c r="A220" s="1" t="s">
        <x:v>20</x:v>
      </x:c>
      <x:c r="B220" s="2" t="s">
        <x:v>20</x:v>
      </x:c>
      <x:c r="C220" s="2" t="s">
        <x:v>20</x:v>
      </x:c>
      <x:c r="D220" s="1" t="s">
        <x:v>20</x:v>
      </x:c>
      <x:c r="E220" s="1" t="s">
        <x:v>20</x:v>
      </x:c>
      <x:c r="F220" s="1" t="s">
        <x:v>101</x:v>
      </x:c>
      <x:c r="G220" s="1" t="s">
        <x:v>20</x:v>
      </x:c>
      <x:c r="H220" s="1" t="s">
        <x:v>95</x:v>
      </x:c>
      <x:c r="I220" s="1" t="s">
        <x:v>20</x:v>
      </x:c>
      <x:c r="J220" s="1" t="s">
        <x:v>20</x:v>
      </x:c>
      <x:c r="K220" s="1" t="s">
        <x:v>20</x:v>
      </x:c>
      <x:c r="L220" s="1" t="s">
        <x:v>20</x:v>
      </x:c>
      <x:c r="M220" s="1" t="s">
        <x:v>20</x:v>
      </x:c>
      <x:c r="N220" s="1" t="s">
        <x:v>20</x:v>
      </x:c>
      <x:c r="O220" s="1" t="s">
        <x:v>20</x:v>
      </x:c>
      <x:c r="P220" s="1" t="s">
        <x:v>20</x:v>
      </x:c>
      <x:c r="Q220" s="1" t="s">
        <x:v>20</x:v>
      </x:c>
    </x:row>
    <x:row r="221" spans="1:17">
      <x:c r="A221" s="1" t="s">
        <x:v>20</x:v>
      </x:c>
      <x:c r="B221" s="2" t="s">
        <x:v>20</x:v>
      </x:c>
      <x:c r="C221" s="2" t="s">
        <x:v>20</x:v>
      </x:c>
      <x:c r="D221" s="1" t="s">
        <x:v>20</x:v>
      </x:c>
      <x:c r="E221" s="1" t="s">
        <x:v>20</x:v>
      </x:c>
      <x:c r="F221" s="1" t="s">
        <x:v>196</x:v>
      </x:c>
      <x:c r="G221" s="1" t="s">
        <x:v>20</x:v>
      </x:c>
      <x:c r="H221" s="1" t="s">
        <x:v>197</x:v>
      </x:c>
      <x:c r="I221" s="1" t="s">
        <x:v>20</x:v>
      </x:c>
      <x:c r="J221" s="1" t="s">
        <x:v>20</x:v>
      </x:c>
      <x:c r="K221" s="1" t="s">
        <x:v>20</x:v>
      </x:c>
      <x:c r="L221" s="1" t="s">
        <x:v>20</x:v>
      </x:c>
      <x:c r="M221" s="1" t="s">
        <x:v>20</x:v>
      </x:c>
      <x:c r="N221" s="1" t="s">
        <x:v>20</x:v>
      </x:c>
      <x:c r="O221" s="1" t="s">
        <x:v>20</x:v>
      </x:c>
      <x:c r="P221" s="1" t="s">
        <x:v>20</x:v>
      </x:c>
      <x:c r="Q221" s="1" t="s">
        <x:v>20</x:v>
      </x:c>
    </x:row>
    <x:row r="222" spans="1:17">
      <x:c r="A222" s="1" t="s">
        <x:v>20</x:v>
      </x:c>
      <x:c r="B222" s="2" t="s">
        <x:v>20</x:v>
      </x:c>
      <x:c r="C222" s="2" t="s">
        <x:v>20</x:v>
      </x:c>
      <x:c r="D222" s="1" t="s">
        <x:v>20</x:v>
      </x:c>
      <x:c r="E222" s="1" t="s">
        <x:v>20</x:v>
      </x:c>
      <x:c r="F222" s="1" t="s">
        <x:v>113</x:v>
      </x:c>
      <x:c r="G222" s="1" t="s">
        <x:v>20</x:v>
      </x:c>
      <x:c r="H222" s="1" t="s">
        <x:v>114</x:v>
      </x:c>
      <x:c r="I222" s="1" t="s">
        <x:v>20</x:v>
      </x:c>
      <x:c r="J222" s="1" t="s">
        <x:v>20</x:v>
      </x:c>
      <x:c r="K222" s="1" t="s">
        <x:v>20</x:v>
      </x:c>
      <x:c r="L222" s="1" t="s">
        <x:v>20</x:v>
      </x:c>
      <x:c r="M222" s="1" t="s">
        <x:v>20</x:v>
      </x:c>
      <x:c r="N222" s="1" t="s">
        <x:v>20</x:v>
      </x:c>
      <x:c r="O222" s="1" t="s">
        <x:v>20</x:v>
      </x:c>
      <x:c r="P222" s="1" t="s">
        <x:v>20</x:v>
      </x:c>
      <x:c r="Q222" s="1" t="s">
        <x:v>20</x:v>
      </x:c>
    </x:row>
    <x:row r="223" spans="1:17">
      <x:c r="A223" s="1" t="s">
        <x:v>20</x:v>
      </x:c>
      <x:c r="B223" s="2" t="s">
        <x:v>20</x:v>
      </x:c>
      <x:c r="C223" s="2" t="s">
        <x:v>20</x:v>
      </x:c>
      <x:c r="D223" s="1" t="s">
        <x:v>20</x:v>
      </x:c>
      <x:c r="E223" s="1" t="s">
        <x:v>20</x:v>
      </x:c>
      <x:c r="F223" s="1" t="s">
        <x:v>61</x:v>
      </x:c>
      <x:c r="G223" s="1" t="s">
        <x:v>20</x:v>
      </x:c>
      <x:c r="H223" s="1" t="s">
        <x:v>115</x:v>
      </x:c>
      <x:c r="I223" s="1" t="s">
        <x:v>20</x:v>
      </x:c>
      <x:c r="J223" s="1" t="s">
        <x:v>20</x:v>
      </x:c>
      <x:c r="K223" s="1" t="s">
        <x:v>20</x:v>
      </x:c>
      <x:c r="L223" s="1" t="s">
        <x:v>20</x:v>
      </x:c>
      <x:c r="M223" s="1" t="s">
        <x:v>20</x:v>
      </x:c>
      <x:c r="N223" s="1" t="s">
        <x:v>20</x:v>
      </x:c>
      <x:c r="O223" s="1" t="s">
        <x:v>20</x:v>
      </x:c>
      <x:c r="P223" s="1" t="s">
        <x:v>20</x:v>
      </x:c>
      <x:c r="Q223" s="1" t="s">
        <x:v>20</x:v>
      </x:c>
    </x:row>
    <x:row r="224" spans="1:17">
      <x:c r="A224" s="1" t="s">
        <x:v>20</x:v>
      </x:c>
      <x:c r="B224" s="2" t="s">
        <x:v>20</x:v>
      </x:c>
      <x:c r="C224" s="2" t="s">
        <x:v>20</x:v>
      </x:c>
      <x:c r="D224" s="1" t="s">
        <x:v>20</x:v>
      </x:c>
      <x:c r="E224" s="1" t="s">
        <x:v>20</x:v>
      </x:c>
      <x:c r="F224" s="1" t="s">
        <x:v>198</x:v>
      </x:c>
      <x:c r="G224" s="1" t="s">
        <x:v>20</x:v>
      </x:c>
      <x:c r="H224" s="1" t="s">
        <x:v>199</x:v>
      </x:c>
      <x:c r="I224" s="1" t="s">
        <x:v>20</x:v>
      </x:c>
      <x:c r="J224" s="1" t="s">
        <x:v>20</x:v>
      </x:c>
      <x:c r="K224" s="1" t="s">
        <x:v>20</x:v>
      </x:c>
      <x:c r="L224" s="1" t="s">
        <x:v>20</x:v>
      </x:c>
      <x:c r="M224" s="1" t="s">
        <x:v>20</x:v>
      </x:c>
      <x:c r="N224" s="1" t="s">
        <x:v>20</x:v>
      </x:c>
      <x:c r="O224" s="1" t="s">
        <x:v>20</x:v>
      </x:c>
      <x:c r="P224" s="1" t="s">
        <x:v>20</x:v>
      </x:c>
      <x:c r="Q224" s="1" t="s">
        <x:v>20</x:v>
      </x:c>
    </x:row>
    <x:row r="225" spans="1:17">
      <x:c r="A225" s="1" t="s">
        <x:v>20</x:v>
      </x:c>
      <x:c r="B225" s="2" t="s">
        <x:v>20</x:v>
      </x:c>
      <x:c r="C225" s="2" t="s">
        <x:v>20</x:v>
      </x:c>
      <x:c r="D225" s="1" t="s">
        <x:v>20</x:v>
      </x:c>
      <x:c r="E225" s="1" t="s">
        <x:v>20</x:v>
      </x:c>
      <x:c r="F225" s="1" t="s">
        <x:v>30</x:v>
      </x:c>
      <x:c r="G225" s="1" t="s">
        <x:v>20</x:v>
      </x:c>
      <x:c r="H225" s="1" t="s">
        <x:v>200</x:v>
      </x:c>
      <x:c r="I225" s="1" t="s">
        <x:v>20</x:v>
      </x:c>
      <x:c r="J225" s="1" t="s">
        <x:v>20</x:v>
      </x:c>
      <x:c r="K225" s="1" t="s">
        <x:v>20</x:v>
      </x:c>
      <x:c r="L225" s="1" t="s">
        <x:v>20</x:v>
      </x:c>
      <x:c r="M225" s="1" t="s">
        <x:v>20</x:v>
      </x:c>
      <x:c r="N225" s="1" t="s">
        <x:v>20</x:v>
      </x:c>
      <x:c r="O225" s="1" t="s">
        <x:v>20</x:v>
      </x:c>
      <x:c r="P225" s="1" t="s">
        <x:v>20</x:v>
      </x:c>
      <x:c r="Q225" s="1" t="s">
        <x:v>20</x:v>
      </x:c>
    </x:row>
    <x:row r="226" spans="1:17">
      <x:c r="A226" s="1" t="s">
        <x:v>20</x:v>
      </x:c>
      <x:c r="B226" s="2" t="s">
        <x:v>20</x:v>
      </x:c>
      <x:c r="C226" s="2" t="s">
        <x:v>20</x:v>
      </x:c>
      <x:c r="D226" s="1" t="s">
        <x:v>20</x:v>
      </x:c>
      <x:c r="E226" s="1" t="s">
        <x:v>20</x:v>
      </x:c>
      <x:c r="F226" s="1" t="s">
        <x:v>201</x:v>
      </x:c>
      <x:c r="G226" s="1" t="s">
        <x:v>20</x:v>
      </x:c>
      <x:c r="H226" s="1" t="s">
        <x:v>202</x:v>
      </x:c>
      <x:c r="I226" s="1" t="s">
        <x:v>20</x:v>
      </x:c>
      <x:c r="J226" s="1" t="s">
        <x:v>20</x:v>
      </x:c>
      <x:c r="K226" s="1" t="s">
        <x:v>20</x:v>
      </x:c>
      <x:c r="L226" s="1" t="s">
        <x:v>20</x:v>
      </x:c>
      <x:c r="M226" s="1" t="s">
        <x:v>20</x:v>
      </x:c>
      <x:c r="N226" s="1" t="s">
        <x:v>20</x:v>
      </x:c>
      <x:c r="O226" s="1" t="s">
        <x:v>20</x:v>
      </x:c>
      <x:c r="P226" s="1" t="s">
        <x:v>20</x:v>
      </x:c>
      <x:c r="Q226" s="1" t="s">
        <x:v>20</x:v>
      </x:c>
    </x:row>
    <x:row r="227" spans="1:17">
      <x:c r="A227" s="1" t="s">
        <x:v>20</x:v>
      </x:c>
      <x:c r="B227" s="2" t="s">
        <x:v>20</x:v>
      </x:c>
      <x:c r="C227" s="2" t="s">
        <x:v>20</x:v>
      </x:c>
      <x:c r="D227" s="1" t="s">
        <x:v>20</x:v>
      </x:c>
      <x:c r="E227" s="1" t="s">
        <x:v>20</x:v>
      </x:c>
      <x:c r="F227" s="1" t="s">
        <x:v>203</x:v>
      </x:c>
      <x:c r="G227" s="1" t="s">
        <x:v>20</x:v>
      </x:c>
      <x:c r="H227" s="1" t="s">
        <x:v>204</x:v>
      </x:c>
      <x:c r="I227" s="1" t="s">
        <x:v>20</x:v>
      </x:c>
      <x:c r="J227" s="1" t="s">
        <x:v>20</x:v>
      </x:c>
      <x:c r="K227" s="1" t="s">
        <x:v>20</x:v>
      </x:c>
      <x:c r="L227" s="1" t="s">
        <x:v>20</x:v>
      </x:c>
      <x:c r="M227" s="1" t="s">
        <x:v>20</x:v>
      </x:c>
      <x:c r="N227" s="1" t="s">
        <x:v>20</x:v>
      </x:c>
      <x:c r="O227" s="1" t="s">
        <x:v>20</x:v>
      </x:c>
      <x:c r="P227" s="1" t="s">
        <x:v>20</x:v>
      </x:c>
      <x:c r="Q227" s="1" t="s">
        <x:v>20</x:v>
      </x:c>
    </x:row>
    <x:row r="228" spans="1:17">
      <x:c r="A228" s="1" t="s">
        <x:v>20</x:v>
      </x:c>
      <x:c r="B228" s="2" t="s">
        <x:v>20</x:v>
      </x:c>
      <x:c r="C228" s="2" t="s">
        <x:v>20</x:v>
      </x:c>
      <x:c r="D228" s="1" t="s">
        <x:v>20</x:v>
      </x:c>
      <x:c r="E228" s="1" t="s">
        <x:v>20</x:v>
      </x:c>
      <x:c r="F228" s="1" t="s">
        <x:v>205</x:v>
      </x:c>
      <x:c r="G228" s="1" t="s">
        <x:v>20</x:v>
      </x:c>
      <x:c r="H228" s="1" t="s">
        <x:v>206</x:v>
      </x:c>
      <x:c r="I228" s="1" t="s">
        <x:v>20</x:v>
      </x:c>
      <x:c r="J228" s="1" t="s">
        <x:v>20</x:v>
      </x:c>
      <x:c r="K228" s="1" t="s">
        <x:v>20</x:v>
      </x:c>
      <x:c r="L228" s="1" t="s">
        <x:v>20</x:v>
      </x:c>
      <x:c r="M228" s="1" t="s">
        <x:v>20</x:v>
      </x:c>
      <x:c r="N228" s="1" t="s">
        <x:v>20</x:v>
      </x:c>
      <x:c r="O228" s="1" t="s">
        <x:v>20</x:v>
      </x:c>
      <x:c r="P228" s="1" t="s">
        <x:v>20</x:v>
      </x:c>
      <x:c r="Q228" s="1" t="s">
        <x:v>20</x:v>
      </x:c>
    </x:row>
    <x:row r="229" spans="1:17">
      <x:c r="A229" s="1" t="s">
        <x:v>20</x:v>
      </x:c>
      <x:c r="B229" s="2" t="s">
        <x:v>20</x:v>
      </x:c>
      <x:c r="C229" s="2" t="s">
        <x:v>20</x:v>
      </x:c>
      <x:c r="D229" s="1" t="s">
        <x:v>20</x:v>
      </x:c>
      <x:c r="E229" s="1" t="s">
        <x:v>20</x:v>
      </x:c>
      <x:c r="F229" s="1" t="s">
        <x:v>168</x:v>
      </x:c>
      <x:c r="G229" s="1" t="s">
        <x:v>20</x:v>
      </x:c>
      <x:c r="H229" s="1" t="s">
        <x:v>169</x:v>
      </x:c>
      <x:c r="I229" s="1" t="s">
        <x:v>20</x:v>
      </x:c>
      <x:c r="J229" s="1" t="s">
        <x:v>20</x:v>
      </x:c>
      <x:c r="K229" s="1" t="s">
        <x:v>20</x:v>
      </x:c>
      <x:c r="L229" s="1" t="s">
        <x:v>20</x:v>
      </x:c>
      <x:c r="M229" s="1" t="s">
        <x:v>20</x:v>
      </x:c>
      <x:c r="N229" s="1" t="s">
        <x:v>20</x:v>
      </x:c>
      <x:c r="O229" s="1" t="s">
        <x:v>20</x:v>
      </x:c>
      <x:c r="P229" s="1" t="s">
        <x:v>20</x:v>
      </x:c>
      <x:c r="Q229" s="1" t="s">
        <x:v>20</x:v>
      </x:c>
    </x:row>
    <x:row r="230" spans="1:17">
      <x:c r="A230" s="1" t="s">
        <x:v>20</x:v>
      </x:c>
      <x:c r="B230" s="2" t="s">
        <x:v>20</x:v>
      </x:c>
      <x:c r="C230" s="2" t="s">
        <x:v>20</x:v>
      </x:c>
      <x:c r="D230" s="1" t="s">
        <x:v>20</x:v>
      </x:c>
      <x:c r="E230" s="1" t="s">
        <x:v>20</x:v>
      </x:c>
      <x:c r="F230" s="1" t="s">
        <x:v>26</x:v>
      </x:c>
      <x:c r="G230" s="1" t="s">
        <x:v>20</x:v>
      </x:c>
      <x:c r="H230" s="1" t="s">
        <x:v>27</x:v>
      </x:c>
      <x:c r="I230" s="1" t="s">
        <x:v>20</x:v>
      </x:c>
      <x:c r="J230" s="1" t="s">
        <x:v>20</x:v>
      </x:c>
      <x:c r="K230" s="1" t="s">
        <x:v>20</x:v>
      </x:c>
      <x:c r="L230" s="1" t="s">
        <x:v>20</x:v>
      </x:c>
      <x:c r="M230" s="1" t="s">
        <x:v>20</x:v>
      </x:c>
      <x:c r="N230" s="1" t="s">
        <x:v>20</x:v>
      </x:c>
      <x:c r="O230" s="1" t="s">
        <x:v>20</x:v>
      </x:c>
      <x:c r="P230" s="1" t="s">
        <x:v>20</x:v>
      </x:c>
      <x:c r="Q230" s="1" t="s">
        <x:v>20</x:v>
      </x:c>
    </x:row>
    <x:row r="231" spans="1:17">
      <x:c r="A231" s="1" t="s">
        <x:v>20</x:v>
      </x:c>
      <x:c r="B231" s="2" t="s">
        <x:v>20</x:v>
      </x:c>
      <x:c r="C231" s="2" t="s">
        <x:v>20</x:v>
      </x:c>
      <x:c r="D231" s="1" t="s">
        <x:v>20</x:v>
      </x:c>
      <x:c r="E231" s="1" t="s">
        <x:v>20</x:v>
      </x:c>
      <x:c r="F231" s="1" t="s">
        <x:v>30</x:v>
      </x:c>
      <x:c r="G231" s="1" t="s">
        <x:v>20</x:v>
      </x:c>
      <x:c r="H231" s="1" t="s">
        <x:v>31</x:v>
      </x:c>
      <x:c r="I231" s="1" t="s">
        <x:v>20</x:v>
      </x:c>
      <x:c r="J231" s="1" t="s">
        <x:v>20</x:v>
      </x:c>
      <x:c r="K231" s="1" t="s">
        <x:v>20</x:v>
      </x:c>
      <x:c r="L231" s="1" t="s">
        <x:v>20</x:v>
      </x:c>
      <x:c r="M231" s="1" t="s">
        <x:v>20</x:v>
      </x:c>
      <x:c r="N231" s="1" t="s">
        <x:v>20</x:v>
      </x:c>
      <x:c r="O231" s="1" t="s">
        <x:v>20</x:v>
      </x:c>
      <x:c r="P231" s="1" t="s">
        <x:v>20</x:v>
      </x:c>
      <x:c r="Q231" s="1" t="s">
        <x:v>20</x:v>
      </x:c>
    </x:row>
    <x:row r="232" spans="1:17">
      <x:c r="A232" s="1" t="s">
        <x:v>20</x:v>
      </x:c>
      <x:c r="B232" s="2" t="s">
        <x:v>20</x:v>
      </x:c>
      <x:c r="C232" s="2" t="s">
        <x:v>20</x:v>
      </x:c>
      <x:c r="D232" s="1" t="s">
        <x:v>20</x:v>
      </x:c>
      <x:c r="E232" s="1" t="s">
        <x:v>20</x:v>
      </x:c>
      <x:c r="F232" s="1" t="s">
        <x:v>207</x:v>
      </x:c>
      <x:c r="G232" s="1" t="s">
        <x:v>20</x:v>
      </x:c>
      <x:c r="H232" s="1" t="s">
        <x:v>67</x:v>
      </x:c>
      <x:c r="I232" s="1" t="s">
        <x:v>20</x:v>
      </x:c>
      <x:c r="J232" s="1" t="s">
        <x:v>20</x:v>
      </x:c>
      <x:c r="K232" s="1" t="s">
        <x:v>20</x:v>
      </x:c>
      <x:c r="L232" s="1" t="s">
        <x:v>20</x:v>
      </x:c>
      <x:c r="M232" s="1" t="s">
        <x:v>20</x:v>
      </x:c>
      <x:c r="N232" s="1" t="s">
        <x:v>20</x:v>
      </x:c>
      <x:c r="O232" s="1" t="s">
        <x:v>20</x:v>
      </x:c>
      <x:c r="P232" s="1" t="s">
        <x:v>20</x:v>
      </x:c>
      <x:c r="Q232" s="1" t="s">
        <x:v>20</x:v>
      </x:c>
    </x:row>
    <x:row r="233" spans="1:17">
      <x:c r="A233" s="1" t="s">
        <x:v>20</x:v>
      </x:c>
      <x:c r="B233" s="2" t="s">
        <x:v>20</x:v>
      </x:c>
      <x:c r="C233" s="2" t="s">
        <x:v>20</x:v>
      </x:c>
      <x:c r="D233" s="1" t="s">
        <x:v>20</x:v>
      </x:c>
      <x:c r="E233" s="1" t="s">
        <x:v>20</x:v>
      </x:c>
      <x:c r="F233" s="1" t="s">
        <x:v>208</x:v>
      </x:c>
      <x:c r="G233" s="1" t="s">
        <x:v>20</x:v>
      </x:c>
      <x:c r="H233" s="1" t="s">
        <x:v>209</x:v>
      </x:c>
      <x:c r="I233" s="1" t="s">
        <x:v>20</x:v>
      </x:c>
      <x:c r="J233" s="1" t="s">
        <x:v>20</x:v>
      </x:c>
      <x:c r="K233" s="1" t="s">
        <x:v>20</x:v>
      </x:c>
      <x:c r="L233" s="1" t="s">
        <x:v>20</x:v>
      </x:c>
      <x:c r="M233" s="1" t="s">
        <x:v>20</x:v>
      </x:c>
      <x:c r="N233" s="1" t="s">
        <x:v>20</x:v>
      </x:c>
      <x:c r="O233" s="1" t="s">
        <x:v>20</x:v>
      </x:c>
      <x:c r="P233" s="1" t="s">
        <x:v>20</x:v>
      </x:c>
      <x:c r="Q23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