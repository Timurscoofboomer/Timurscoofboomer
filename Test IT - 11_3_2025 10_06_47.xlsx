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a0731129247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f6e9542e2842b497f05a9058579257.psmdcp" Id="R4683651a2dca41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6" i="1"/>
  <x:c r="C9" i="1"/>
  <x:c r="C13" i="1"/>
  <x:c r="C16" i="1"/>
  <x:c r="C19" i="1"/>
  <x:c r="C27" i="1"/>
  <x:c r="C31" i="1"/>
  <x:c r="C34" i="1"/>
  <x:c r="C37" i="1"/>
  <x:c r="C40" i="1"/>
  <x:c r="C43" i="1"/>
  <x:c r="C46" i="1"/>
  <x:c r="C49" i="1"/>
  <x:c r="C52" i="1"/>
  <x:c r="C55" i="1"/>
  <x:c r="C58" i="1"/>
  <x:c r="C61" i="1"/>
  <x:c r="C64" i="1"/>
  <x:c r="C68" i="1"/>
  <x:c r="C71" i="1"/>
  <x:c r="C75" i="1"/>
  <x:c r="C79" i="1"/>
  <x:c r="C83" i="1"/>
  <x:c r="C87" i="1"/>
  <x:c r="C91" i="1"/>
  <x:c r="C95" i="1"/>
  <x:c r="C99" i="1"/>
  <x:c r="C103" i="1"/>
  <x:c r="C107" i="1"/>
  <x:c r="C112" i="1"/>
  <x:c r="C117" i="1"/>
  <x:c r="C119" i="1"/>
  <x:c r="C124" i="1"/>
  <x:c r="C129" i="1"/>
  <x:c r="C134" i="1"/>
  <x:c r="C138" i="1"/>
  <x:c r="C144" i="1"/>
  <x:c r="C153" i="1"/>
  <x:c r="C163" i="1"/>
  <x:c r="C168" i="1"/>
  <x:c r="C174" i="1"/>
  <x:c r="C178" i="1"/>
  <x:c r="C183" i="1"/>
  <x:c r="C187" i="1"/>
  <x:c r="C192" i="1"/>
  <x:c r="C199" i="1"/>
  <x:c r="C206" i="1"/>
  <x:c r="C211" i="1"/>
  <x:c r="C217" i="1"/>
  <x:c r="C225" i="1"/>
  <x:c r="C230" i="1"/>
  <x:c r="C240" i="1"/>
  <x:c r="C247" i="1"/>
  <x:c r="C251" i="1"/>
  <x:c r="C25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<x:sst xmlns:x="http://schemas.openxmlformats.org/spreadsheetml/2006/main">
  <x:si>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</x:si>
  <x:si>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</x:si>
  <x:si>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</x:si>
  <x:si>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</x:si>
  <x:si>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</x:si>
  <x:si>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</x:si>
  <x:si>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</x:si>
  <x:si>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</x:si>
  <x:si>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</x:si>
  <x:si>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</x:si>
  <x:si>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</x:si>
  <x:si>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</x:si>
  <x:si>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</x:si>
  <x:si>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</x:si>
  <x:si>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</x:si>
  <x:si>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</x:si>
  <x:si>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</x:si>
  <x:si>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451</x:t>
  </x:si>
  <x:si>
    <x:t>стажировка -&gt; mirknig.eu</x:t>
  </x:si>
  <x:si>
    <x:t>Нет</x:t>
  </x:si>
  <x:si>
    <x:t/>
  </x:si>
  <x:si>
    <x:t>Средний</x:t>
  </x:si>
  <x:si>
    <x:t>Готов</x:t>
  </x:si>
  <x:si>
    <x:t>10/4/2025 07:12:39</x:t>
  </x:si>
  <x:si>
    <x:t>тимур гатауллин</x:t>
  </x:si>
  <x:si>
    <x:t>0h 0m 0s</x:t>
  </x:si>
  <x:si>
    <x:t>открыть сайт mirknig.eu</x:t>
  </x:si>
  <x:si>
    <x:t>сайт окрыт</x:t>
  </x:si>
  <x:si>
    <x:t>475</x:t>
  </x:si>
  <x:si>
    <x:t>10/4/2025 08:00:21</x:t>
  </x:si>
  <x:si>
    <x:t>кликнуть ссылку “Регистрация”</x:t>
  </x:si>
  <x:si>
    <x:t>открылась форма с полями для регистрации</x:t>
  </x:si>
  <x:si>
    <x:t>452</x:t>
  </x:si>
  <x:si>
    <x:t>10/4/2025 07:14:17</x:t>
  </x:si>
  <x:si>
    <x:t>0h 1m 0s</x:t>
  </x:si>
  <x:si>
    <x:t>кликнуть логотип сайта</x:t>
  </x:si>
  <x:si>
    <x:t>открылась главная страница</x:t>
  </x:si>
  <x:si>
    <x:t>453</x:t>
  </x:si>
  <x:si>
    <x:t>10/4/2025 07:20:30</x:t>
  </x:si>
  <x:si>
    <x:t>баг</x:t>
  </x:si>
  <x:si>
    <x:t>навести курсор на пункт меню Каталог</x:t>
  </x:si>
  <x:si>
    <x:t>открылся выпадающий список категорий каталога</x:t>
  </x:si>
  <x:si>
    <x:t>кликнуть пункт меню Каталог</x:t>
  </x:si>
  <x:si>
    <x:t>открылась страница с содержимым каталога</x:t>
  </x:si>
  <x:si>
    <x:t>455</x:t>
  </x:si>
  <x:si>
    <x:t>10/4/2025 07:26:05</x:t>
  </x:si>
  <x:si>
    <x:t>кликнуть пункт меню Издательства</x:t>
  </x:si>
  <x:si>
    <x:t>открылась соответствующая страница</x:t>
  </x:si>
  <x:si>
    <x:t>456</x:t>
  </x:si>
  <x:si>
    <x:t>10/4/2025 07:26:46</x:t>
  </x:si>
  <x:si>
    <x:t>кликнуть пункт меню Как заказать</x:t>
  </x:si>
  <x:si>
    <x:t>457</x:t>
  </x:si>
  <x:si>
    <x:t>10/4/2025 07:30:13</x:t>
  </x:si>
  <x:si>
    <x:t>навести курсор на  пункт меню Условия и тарифы</x:t>
  </x:si>
  <x:si>
    <x:t>выпал список</x:t>
  </x:si>
  <x:si>
    <x:t>кликнуть пункт меню Условия и тарифы</x:t>
  </x:si>
  <x:si>
    <x:t>кликнуть пункт выпал список Сроки и тарифы на доставку книг</x:t>
  </x:si>
  <x:si>
    <x:t>кликнуть Условия покупки и политика конфиденциальности</x:t>
  </x:si>
  <x:si>
    <x:t>458</x:t>
  </x:si>
  <x:si>
    <x:t>10/4/2025 07:32:56</x:t>
  </x:si>
  <x:si>
    <x:t>кликнуть СКИДКИ И АКЦИИ</x:t>
  </x:si>
  <x:si>
    <x:t>459</x:t>
  </x:si>
  <x:si>
    <x:t>10/4/2025 07:33:31</x:t>
  </x:si>
  <x:si>
    <x:t>кликнуть пункт меню Вопрос-ответ</x:t>
  </x:si>
  <x:si>
    <x:t>460</x:t>
  </x:si>
  <x:si>
    <x:t>10/4/2025 07:34:58</x:t>
  </x:si>
  <x:si>
    <x:t>кликнуть пункт меню Отзывы</x:t>
  </x:si>
  <x:si>
    <x:t>открылась соответствующая страница. страница корректна</x:t>
  </x:si>
  <x:si>
    <x:t>461</x:t>
  </x:si>
  <x:si>
    <x:t>10/4/2025 07:35:16</x:t>
  </x:si>
  <x:si>
    <x:t>кликнуть пункт меню О нас</x:t>
  </x:si>
  <x:si>
    <x:t>462</x:t>
  </x:si>
  <x:si>
    <x:t>10/4/2025 07:36:05</x:t>
  </x:si>
  <x:si>
    <x:t>кликнуть пункт меню Контакты</x:t>
  </x:si>
  <x:si>
    <x:t>463</x:t>
  </x:si>
  <x:si>
    <x:t>10/4/2025 07:38:43</x:t>
  </x:si>
  <x:si>
    <x:t>в хедере кликнуть логотип Конвертик</x:t>
  </x:si>
  <x:si>
    <x:t>открылась страница для обратной связи</x:t>
  </x:si>
  <x:si>
    <x:t>464</x:t>
  </x:si>
  <x:si>
    <x:t>10/4/2025 07:39:53</x:t>
  </x:si>
  <x:si>
    <x:t>в хедере кликнуть логотип Facebook</x:t>
  </x:si>
  <x:si>
    <x:t>открывается страница аккаунта компании сайта в Facebook</x:t>
  </x:si>
  <x:si>
    <x:t>465</x:t>
  </x:si>
  <x:si>
    <x:t>10/4/2025 07:40:17</x:t>
  </x:si>
  <x:si>
    <x:t>в хедере кликнуть логотип Инстаграм</x:t>
  </x:si>
  <x:si>
    <x:t>открывается страница аккаунта компании сайта в Инстаграм</x:t>
  </x:si>
  <x:si>
    <x:t>466</x:t>
  </x:si>
  <x:si>
    <x:t>10/4/2025 07:40:36</x:t>
  </x:si>
  <x:si>
    <x:t>в хедере кликнуть логотип Телеграм</x:t>
  </x:si>
  <x:si>
    <x:t>открывается страница аккаунта компании сайта в Телеграм</x:t>
  </x:si>
  <x:si>
    <x:t>467</x:t>
  </x:si>
  <x:si>
    <x:t>10/4/2025 07:41:26</x:t>
  </x:si>
  <x:si>
    <x:t>в хедере кликнуть логотип Тикток</x:t>
  </x:si>
  <x:si>
    <x:t>открывается страница аккаунта компании сайта в Тикток</x:t>
  </x:si>
  <x:si>
    <x:t>468</x:t>
  </x:si>
  <x:si>
    <x:t>10/4/2025 07:42:27</x:t>
  </x:si>
  <x:si>
    <x:t>в хедере кликнуть логотип Youtube</x:t>
  </x:si>
  <x:si>
    <x:t>открывается страница аккаунта компании сайта в Youtube</x:t>
  </x:si>
  <x:si>
    <x:t>469</x:t>
  </x:si>
  <x:si>
    <x:t>10/4/2025 07:42:46</x:t>
  </x:si>
  <x:si>
    <x:t>в хедере кликнуть логотип VK</x:t>
  </x:si>
  <x:si>
    <x:t>открывается страница аккаунта компании сайта в VK</x:t>
  </x:si>
  <x:si>
    <x:t>470</x:t>
  </x:si>
  <x:si>
    <x:t>10/4/2025 07:46:49</x:t>
  </x:si>
  <x:si>
    <x:t>набрать в Поиске фамилию писателя</x:t>
  </x:si>
  <x:si>
    <x:t>открылся выпадающий список</x:t>
  </x:si>
  <x:si>
    <x:t>кликнут на пункт выпадающего списка</x:t>
  </x:si>
  <x:si>
    <x:t>открылась страница с карточкой товара</x:t>
  </x:si>
  <x:si>
    <x:t>471</x:t>
  </x:si>
  <x:si>
    <x:t>10/4/2025 07:47:47</x:t>
  </x:si>
  <x:si>
    <x:t>набрать в Поиске фамилию писателя, нажать Enter</x:t>
  </x:si>
  <x:si>
    <x:t>открылась страница с карточками по поисковому запросу. Карточки выглядят корректно</x:t>
  </x:si>
  <x:si>
    <x:t>472</x:t>
  </x:si>
  <x:si>
    <x:t>10/4/2025 07:56:22</x:t>
  </x:si>
  <x:si>
    <x:t>кликнуть ссылку Авторизация</x:t>
  </x:si>
  <x:si>
    <x:t>открылась страница с формами для авторизации</x:t>
  </x:si>
  <x:si>
    <x:t>не будучи зарегистрированным заполнить поля валидными данными, кликнуть Войти</x:t>
  </x:si>
  <x:si>
    <x:t>в авторизации отказано</x:t>
  </x:si>
  <x:si>
    <x:t>473</x:t>
  </x:si>
  <x:si>
    <x:t>10/4/2025 07:57:13</x:t>
  </x:si>
  <x:si>
    <x:t>не будучи зарегистрированным заполнить поля невалидными данными, кликнуть Войти</x:t>
  </x:si>
  <x:si>
    <x:t>появилось сообщение  “Не найден введённый адрес E-Mail и/или пароль указан неправильно.”</x:t>
  </x:si>
  <x:si>
    <x:t>474</x:t>
  </x:si>
  <x:si>
    <x:t>10/4/2025 07:59:33</x:t>
  </x:si>
  <x:si>
    <x:t>ввести невалидный почтовый адрес, нажать Продолжить</x:t>
  </x:si>
  <x:si>
    <x:t>валидация не проходит</x:t>
  </x:si>
  <x:si>
    <x:t>476</x:t>
  </x:si>
  <x:si>
    <x:t>10/4/2025 08:08:28</x:t>
  </x:si>
  <x:si>
    <x:t>ввести валидный почтовый адрес, оставив остальные поля пустыми. Пройти капчу, поставить галочку конфиденциальности, нажать Продолжить</x:t>
  </x:si>
  <x:si>
    <x:t>обязательные поля отмечены как невалидные</x:t>
  </x:si>
  <x:si>
    <x:t>477</x:t>
  </x:si>
  <x:si>
    <x:t>10/4/2025 08:11:52</x:t>
  </x:si>
  <x:si>
    <x:t>ввести валидный почтовый адрес, остальные поля заполнить произвольными буквами, выбрать регион, пройти капчу, поставить галочку конфиденциальности, нажать Продолжить</x:t>
  </x:si>
  <x:si>
    <x:t>в регистрации отказано</x:t>
  </x:si>
  <x:si>
    <x:t>478</x:t>
  </x:si>
  <x:si>
    <x:t>10/4/2025 08:18:24</x:t>
  </x:si>
  <x:si>
    <x:t>ввести валидные данные во всех формах, ввести сгенерированный системой пароль, не проходить капчу, поставить галочку конфиденциальности,  нажать Продолжить</x:t>
  </x:si>
  <x:si>
    <x:t>в регистрации отказано без капчи</x:t>
  </x:si>
  <x:si>
    <x:t>479</x:t>
  </x:si>
  <x:si>
    <x:t>10/4/2025 08:23:20</x:t>
  </x:si>
  <x:si>
    <x:t>ввести валидные данные во всех формах, ввести и повторить валидный пароль, пройти капчу, не поставить галочку конфиденциальности,  нажать Продолжить</x:t>
  </x:si>
  <x:si>
    <x:t>в регистрации отказано без согласия с политикой конфиденциальности</x:t>
  </x:si>
  <x:si>
    <x:t>480</x:t>
  </x:si>
  <x:si>
    <x:t>10/4/2025 08:26:33</x:t>
  </x:si>
  <x:si>
    <x:t>ввести валидные данные во всех формах, ввести название города, выбрать регион и страну, не соответствующие выбранному городу. Ввести и повторить валидный пароль, пройти капчу,  поставить галочку конфиденциальности,  нажать Продолжить</x:t>
  </x:si>
  <x:si>
    <x:t>в регистрации отказано из-за несоответствия выбранного города его стране</x:t>
  </x:si>
  <x:si>
    <x:t>481</x:t>
  </x:si>
  <x:si>
    <x:t>10/4/2025 08:31:00</x:t>
  </x:si>
  <x:si>
    <x:t>ввести валидные данные во всех формах, ввести название города, выбрать регион и страну, не соответствующие выбранному городу. Ввести  валидный пароль, в поле повторного пароля ввести отличный от введенного ранее пароль, пройти капчу,  поставить галочку конфиденциальности,  нажать Продолжить</x:t>
  </x:si>
  <x:si>
    <x:t>в регистрации отказано из-за несоответствия паролей</x:t>
  </x:si>
  <x:si>
    <x:t>482</x:t>
  </x:si>
  <x:si>
    <x:t>10/4/2025 08:34:34</x:t>
  </x:si>
  <x:si>
    <x:t>ввести валидные данные во всех формах,  выбрать регион и страну, вести и повторить валидный пароль, пройти капчу,  поставить галочку конфиденциальности,  нажать Продолжить</x:t>
  </x:si>
  <x:si>
    <x:t>Учетная запись создана</x:t>
  </x:si>
  <x:si>
    <x:t>разлогиниться</x:t>
  </x:si>
  <x:si>
    <x:t>483</x:t>
  </x:si>
  <x:si>
    <x:t>10/4/2025 08:39:36</x:t>
  </x:si>
  <x:si>
    <x:t>ввести валидные данные во всех формах, в поле Email ввести использованный ранее при успешной регистрации адрес почтового ящика, выбрать регион и страну, вести и повторить валидный пароль, пройти капчу,  поставить галочку конфиденциальности,  нажать Продолжить</x:t>
  </x:si>
  <x:si>
    <x:t>сообщение об уже существующем аккаунте с этой почтой</x:t>
  </x:si>
  <x:si>
    <x:t>484</x:t>
  </x:si>
  <x:si>
    <x:t>10/4/2025 08:40:41</x:t>
  </x:si>
  <x:si>
    <x:t>открылась форма для авторизации</x:t>
  </x:si>
  <x:si>
    <x:t>485</x:t>
  </x:si>
  <x:si>
    <x:t>10/4/2025 08:41:55</x:t>
  </x:si>
  <x:si>
    <x:t>ввести зарегистрированный адрес почты</x:t>
  </x:si>
  <x:si>
    <x:t>поле заполнено</x:t>
  </x:si>
  <x:si>
    <x:t>ввести не зареганный пароль</x:t>
  </x:si>
  <x:si>
    <x:t>486</x:t>
  </x:si>
  <x:si>
    <x:t>10/4/2025 08:45:51</x:t>
  </x:si>
  <x:si>
    <x:t>ввести зареганный пароль, нажать войти</x:t>
  </x:si>
  <x:si>
    <x:t>открылась страница учетной записи</x:t>
  </x:si>
  <x:si>
    <x:t>487</x:t>
  </x:si>
  <x:si>
    <x:t>10/4/2025 10:14:21</x:t>
  </x:si>
  <x:si>
    <x:t>выбрать произвольно несколько категорий и/или подкатегорий товаров в выпадающем списке каталога. кликнуть на них</x:t>
  </x:si>
  <x:si>
    <x:t>открывается страница с карточками товаров, соответствующим выбранным категориям/подкатегориям</x:t>
  </x:si>
  <x:si>
    <x:t>обратить внимание, что пункты каталога, выбранные в выпадающем списке соответствуют пунктам в левой колонке страницы</x:t>
  </x:si>
  <x:si>
    <x:t>пункты каталога, выбранные в выпадающем списке соответствуют пунктам в левой колонке страницы</x:t>
  </x:si>
  <x:si>
    <x:t>488</x:t>
  </x:si>
  <x:si>
    <x:t>10/4/2025 10:18:32</x:t>
  </x:si>
  <x:si>
    <x:t>прокликать произвольно несколько категорий и/или подкатегорий в левой колонке сайта</x:t>
  </x:si>
  <x:si>
    <x:t>открываются страницы с карточками товаров, соответствующим выбранным категориям/подкатегориям</x:t>
  </x:si>
  <x:si>
    <x:t>обратить внимание, что выбранные пункты каталога из левой страницы соответствуют открывающимся карточкам товаров</x:t>
  </x:si>
  <x:si>
    <x:t>пункты каталога из левой страницы соответствуют открывающимся карточкам товаров</x:t>
  </x:si>
  <x:si>
    <x:t>489</x:t>
  </x:si>
  <x:si>
    <x:t>10/4/2025 10:24:23</x:t>
  </x:si>
  <x:si>
    <x:t>кликнуть линк Забыли пароль</x:t>
  </x:si>
  <x:si>
    <x:t>открылась форма восстановления пароля</x:t>
  </x:si>
  <x:si>
    <x:t>ввести зареганный адрес почты</x:t>
  </x:si>
  <x:si>
    <x:t>нажать Продолжить</x:t>
  </x:si>
  <x:si>
    <x:t>уведомление об отправке нового пароля на почту</x:t>
  </x:si>
  <x:si>
    <x:t>490</x:t>
  </x:si>
  <x:si>
    <x:t>10/4/2025 10:27:03</x:t>
  </x:si>
  <x:si>
    <x:t>перейти на почтовый сервис с указанным почтовым ящиком, найти письмо от компании сайта</x:t>
  </x:si>
  <x:si>
    <x:t>письмо получено</x:t>
  </x:si>
  <x:si>
    <x:t>открыть письмо, кликнуть линк для восстановления/обновления пароля</x:t>
  </x:si>
  <x:si>
    <x:t>открылась страница тестируемого сайта для ввода нового пароля</x:t>
  </x:si>
  <x:si>
    <x:t>ввести в двух формах паролей разные значения, нажать Продолжить</x:t>
  </x:si>
  <x:si>
    <x:t>491</x:t>
  </x:si>
  <x:si>
    <x:t>10/4/2025 10:31:08</x:t>
  </x:si>
  <x:si>
    <x:t>ввести в двух формах паролей одинаковые  пароли, нажать Продолжить</x:t>
  </x:si>
  <x:si>
    <x:t>пароль успешно изменен</x:t>
  </x:si>
  <x:si>
    <x:t>492</x:t>
  </x:si>
  <x:si>
    <x:t>10/4/2025 10:34:13</x:t>
  </x:si>
  <x:si>
    <x:t>заполнить поле адреса почты</x:t>
  </x:si>
  <x:si>
    <x:t>в поле Пароль ввести старый (использованный до восстановления пароля) пароль, кликнуть Войти</x:t>
  </x:si>
  <x:si>
    <x:t>493</x:t>
  </x:si>
  <x:si>
    <x:t>10/4/2025 10:36:43</x:t>
  </x:si>
  <x:si>
    <x:t>в поле Пароль ввести новый пароль, кликнуть Войти</x:t>
  </x:si>
  <x:si>
    <x:t>авторизация пройдена</x:t>
  </x:si>
  <x:si>
    <x:t>494</x:t>
  </x:si>
  <x:si>
    <x:t>10/4/2025 10:43:01</x:t>
  </x:si>
  <x:si>
    <x:t>без авторизации добавит пару товаров в корзину</x:t>
  </x:si>
  <x:si>
    <x:t>в корзине появляются добавленные товары</x:t>
  </x:si>
  <x:si>
    <x:t>перейти в корзину нажатием кнопки “Посмотреть корзину”" нажать внутри  корзины “Оформление заказа”</x:t>
  </x:si>
  <x:si>
    <x:t>появляется уведомление о необходимости авторизоваться. или форма для заполнения для последующего оформления заказа</x:t>
  </x:si>
  <x:si>
    <x:t>495</x:t>
  </x:si>
  <x:si>
    <x:t>10/4/2025 10:48:24</x:t>
  </x:si>
  <x:si>
    <x:t>навести курсор на Корзину</x:t>
  </x:si>
  <x:si>
    <x:t>выпала модалка с содержанием  Корзины</x:t>
  </x:si>
  <x:si>
    <x:t>нажать в выпавшей модалке “Оформление заказа”</x:t>
  </x:si>
  <x:si>
    <x:t>открылась страница с полями для оформления заказа</x:t>
  </x:si>
  <x:si>
    <x:t>496</x:t>
  </x:si>
  <x:si>
    <x:t>10/4/2025 10:49:41</x:t>
  </x:si>
  <x:si>
    <x:t>кликнуть Корзину</x:t>
  </x:si>
  <x:si>
    <x:t>открывается окно с содержимым  Корзины</x:t>
  </x:si>
  <x:si>
    <x:t>497</x:t>
  </x:si>
  <x:si>
    <x:t>10/4/2025 10:52:11</x:t>
  </x:si>
  <x:si>
    <x:t>перейти в Корзину</x:t>
  </x:si>
  <x:si>
    <x:t>окно Корзины открыто</x:t>
  </x:si>
  <x:si>
    <x:t>в окне Корзины нажать “Продолжить покупки”</x:t>
  </x:si>
  <x:si>
    <x:t>сайт возвращается  на главную</x:t>
  </x:si>
  <x:si>
    <x:t>498</x:t>
  </x:si>
  <x:si>
    <x:t>10/4/2025 10:59:50</x:t>
  </x:si>
  <x:si>
    <x:t>заполнить поля оформления . в полях Email и телефон ввести не использованные ранее при регистрации данные.</x:t>
  </x:si>
  <x:si>
    <x:t>поля заполнены</x:t>
  </x:si>
  <x:si>
    <x:t>Пройти остальные этапы оформления до покупки</x:t>
  </x:si>
  <x:si>
    <x:t>система не принимает значения адреса почты и/или телефонного номера</x:t>
  </x:si>
  <x:si>
    <x:t>499</x:t>
  </x:si>
  <x:si>
    <x:t>10/4/2025 11:02:34</x:t>
  </x:si>
  <x:si>
    <x:t>заполнить поля оформления невалидными данными</x:t>
  </x:si>
  <x:si>
    <x:t>валидация не пройдена</x:t>
  </x:si>
  <x:si>
    <x:t>500</x:t>
  </x:si>
  <x:si>
    <x:t>10/4/2025 11:05:00</x:t>
  </x:si>
  <x:si>
    <x:t>без авторизации добавит товары в корзину</x:t>
  </x:si>
  <x:si>
    <x:t>перейти в Козину</x:t>
  </x:si>
  <x:si>
    <x:t>страница корзины открыта</x:t>
  </x:si>
  <x:si>
    <x:t>удалить товары</x:t>
  </x:si>
  <x:si>
    <x:t>товары удаляются</x:t>
  </x:si>
  <x:si>
    <x:t>501</x:t>
  </x:si>
  <x:si>
    <x:t>10/4/2025 11:08:53</x:t>
  </x:si>
  <x:si>
    <x:t>авторизоваться</x:t>
  </x:si>
  <x:si>
    <x:t>пользователь авторизован</x:t>
  </x:si>
  <x:si>
    <x:t>добавит товары в Корзину</x:t>
  </x:si>
  <x:si>
    <x:t>товары добавляются</x:t>
  </x:si>
  <x:si>
    <x:t>в модалке Корзины перейти к оформлению заказа</x:t>
  </x:si>
  <x:si>
    <x:t>открылась страница для оформления заказа с данными авторизованного пользователя без необходимости повторять ввод данных, уже введенных при регистрации</x:t>
  </x:si>
  <x:si>
    <x:t>продолжит оформление заказа, перейти к оплате</x:t>
  </x:si>
  <x:si>
    <x:t>оплата возможна</x:t>
  </x:si>
  <x:si>
    <x:t>502</x:t>
  </x:si>
  <x:si>
    <x:t>10/4/2025 11:21:56</x:t>
  </x:si>
  <x:si>
    <x:t>добавить товары в избранное</x:t>
  </x:si>
  <x:si>
    <x:t>выплывают модалки о добавлении в Избранное, в хедере в ссылке Закладки появляется число с количеством добавленных в Избранное товаров</x:t>
  </x:si>
  <x:si>
    <x:t>перейти в Избранное кликом по ссылке Закладки в хедере</x:t>
  </x:si>
  <x:si>
    <x:t>открывается страница с Избранным</x:t>
  </x:si>
  <x:si>
    <x:t>в Избранном кликнуть на логотип Корзинки у наименования товара</x:t>
  </x:si>
  <x:si>
    <x:t>товар добавляется в Корзину</x:t>
  </x:si>
  <x:si>
    <x:t>в Избранном кликнуть на логотип Крестик у наименования товара</x:t>
  </x:si>
  <x:si>
    <x:t>товар удаляется из Избранного</x:t>
  </x:si>
  <x:si>
    <x:t>в Избранном нажать Продолжить</x:t>
  </x:si>
  <x:si>
    <x:t>открывается главная страница сайта</x:t>
  </x:si>
  <x:si>
    <x:t>503</x:t>
  </x:si>
  <x:si>
    <x:t>10/4/2025 11:23:30</x:t>
  </x:si>
  <x:si>
    <x:t>не авторизоваться</x:t>
  </x:si>
  <x:si>
    <x:t>пользователь не авторизован</x:t>
  </x:si>
  <x:si>
    <x:t>открывается форма для авторизации</x:t>
  </x:si>
  <x:si>
    <x:t>504</x:t>
  </x:si>
  <x:si>
    <x:t>10/4/2025 11:28:08</x:t>
  </x:si>
  <x:si>
    <x:t>0h 5m 0s</x:t>
  </x:si>
  <x:si>
    <x:t>в каталоге открыть категорию с товарами</x:t>
  </x:si>
  <x:si>
    <x:t>появляются карточки товаров по выбранной категории</x:t>
  </x:si>
  <x:si>
    <x:t>в выпадающем списке Сортировка выбрать сортировку по названию от А до Я</x:t>
  </x:si>
  <x:si>
    <x:t>товары отсортировались по названию от А до Я</x:t>
  </x:si>
  <x:si>
    <x:t>в выпадающем списке Сортировка выбрать сортировку по названию от Я до А</x:t>
  </x:si>
  <x:si>
    <x:t>товары отсортировались по названию от Я до А</x:t>
  </x:si>
  <x:si>
    <x:t>в выпадающем списке Сортировка выбрать сортировку по цене от низкой к высокой</x:t>
  </x:si>
  <x:si>
    <x:t>товары отсортированы по цене от низкой к высокой</x:t>
  </x:si>
  <x:si>
    <x:t>в выпадающем списке Сортировка выбрать сортировку по цене от высокой к низкой</x:t>
  </x:si>
  <x:si>
    <x:t>товары отсортированы по цене от высокой к низкой</x:t>
  </x:si>
  <x:si>
    <x:t>в выпадающем списке Сортировка выбрать сортировку по рейтингу, начиная с высокого</x:t>
  </x:si>
  <x:si>
    <x:t>товары отсортированы по рейтингу, начиная с высокого</x:t>
  </x:si>
  <x:si>
    <x:t>в выпадающем списке Сортировка выбрать сортировку по рейтингу, начиная с низкого</x:t>
  </x:si>
  <x:si>
    <x:t>товары отсортированы по рейтингу, начиная с низкого</x:t>
  </x:si>
  <x:si>
    <x:t>в выпадающем списке Сортировка выбрать сортировку по коду</x:t>
  </x:si>
  <x:si>
    <x:t>товары отсортированы по коду</x:t>
  </x:si>
  <x:si>
    <x:t>505</x:t>
  </x:si>
  <x:si>
    <x:t>10/4/2025 11:35:07</x:t>
  </x:si>
  <x:si>
    <x:t>в карточках товаров кликнуть иконку “В Сравнение”</x:t>
  </x:si>
  <x:si>
    <x:t>выплывают модалки о добавлении товара для сравнения</x:t>
  </x:si>
  <x:si>
    <x:t>обратить внимание на  ссылку “Сравнение товаров”</x:t>
  </x:si>
  <x:si>
    <x:t>в строке над карточками в ссылке “Сравнение товаров” появляется количество сравниваемых товаров</x:t>
  </x:si>
  <x:si>
    <x:t>перейти по ссылке Сравнение товаров</x:t>
  </x:si>
  <x:si>
    <x:t>открыта страница со сравниваемыми товарами</x:t>
  </x:si>
  <x:si>
    <x:t>сравнить количество добавленных ранее для сравнения товаров с количеством товаров в Сравнении</x:t>
  </x:si>
  <x:si>
    <x:t>количества совпадают</x:t>
  </x:si>
  <x:si>
    <x:t>506</x:t>
  </x:si>
  <x:si>
    <x:t>10/4/2025 11:45:25</x:t>
  </x:si>
  <x:si>
    <x:t>в строке сортировки  в поле Показать выбрать разные количество представленных на странице товаров</x:t>
  </x:si>
  <x:si>
    <x:t>количества представленных на странице товаров соответствуют выбранному фильтру</x:t>
  </x:si>
  <x:si>
    <x:t>563</x:t>
  </x:si>
  <x:si>
    <x:t>10/7/2025 11:09:56</x:t>
  </x:si>
  <x:si>
    <x:t>открыть карточку товара</x:t>
  </x:si>
  <x:si>
    <x:t>карточка товара открыта</x:t>
  </x:si>
  <x:si>
    <x:t>в поле “количество товаров” ввести 1000000</x:t>
  </x:si>
  <x:si>
    <x:t>1000000 введен</x:t>
  </x:si>
  <x:si>
    <x:t>нажать “Купить”</x:t>
  </x:si>
  <x:si>
    <x:t>товар добавлен в корзину в количестве 1000000 экземпляров</x:t>
  </x:si>
  <x:si>
    <x:t>перейти в Корзину, нажать “Оформление заказа”</x:t>
  </x:si>
  <x:si>
    <x:t>появляется сообщение о не доступном для склада количестве</x:t>
  </x:si>
  <x:si>
    <x:t>564</x:t>
  </x:si>
  <x:si>
    <x:t>10/7/2025 11:27:02</x:t>
  </x:si>
  <x:si>
    <x:t>множество раз быстро кликнуть значок Сердечко</x:t>
  </x:si>
  <x:si>
    <x:t>появляется много модалок о добавлении товара в Избранное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</x:si>
</x:sst>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60" totalsRowShown="0">
  <x:autoFilter ref="A1:Q260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60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4.282054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HYPERLINK("https://team-v23u.testit.software/projects/142/tests/451",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HYPERLINK("https://team-v23u.testit.software/projects/142/tests/475", "регистрация")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25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HYPERLINK("https://team-v23u.testit.software/projects/142/tests/452", "лого")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34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26</x:v>
      </x:c>
      <x:c r="G7" s="1" t="s">
        <x:v>20</x:v>
      </x:c>
      <x:c r="H7" s="1" t="s">
        <x:v>27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35</x:v>
      </x:c>
      <x:c r="G8" s="1" t="s">
        <x:v>20</x:v>
      </x:c>
      <x:c r="H8" s="1" t="s">
        <x:v>36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37</x:v>
      </x:c>
      <x:c r="B9" s="2" t="s">
        <x:v>18</x:v>
      </x:c>
      <x:c r="C9" s="2">
        <x:f>HYPERLINK("https://team-v23u.testit.software/projects/142/tests/453", "каталог клик")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38</x:v>
      </x:c>
      <x:c r="O9" s="1" t="s">
        <x:v>24</x:v>
      </x:c>
      <x:c r="P9" s="1" t="s">
        <x:v>34</x:v>
      </x:c>
      <x:c r="Q9" s="1" t="s">
        <x:v>39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26</x:v>
      </x:c>
      <x:c r="G10" s="1" t="s">
        <x:v>20</x:v>
      </x:c>
      <x:c r="H10" s="1" t="s">
        <x:v>27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40</x:v>
      </x:c>
      <x:c r="G11" s="1" t="s">
        <x:v>20</x:v>
      </x:c>
      <x:c r="H11" s="1" t="s">
        <x:v>41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42</x:v>
      </x:c>
      <x:c r="G12" s="1" t="s">
        <x:v>20</x:v>
      </x:c>
      <x:c r="H12" s="1" t="s">
        <x:v>43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44</x:v>
      </x:c>
      <x:c r="B13" s="2" t="s">
        <x:v>18</x:v>
      </x:c>
      <x:c r="C13" s="2">
        <x:f>HYPERLINK("https://team-v23u.testit.software/projects/142/tests/455", "издательства")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45</x:v>
      </x:c>
      <x:c r="O13" s="1" t="s">
        <x:v>24</x:v>
      </x:c>
      <x:c r="P13" s="1" t="s">
        <x:v>34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26</x:v>
      </x:c>
      <x:c r="G14" s="1" t="s">
        <x:v>20</x:v>
      </x:c>
      <x:c r="H14" s="1" t="s">
        <x:v>27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46</x:v>
      </x:c>
      <x:c r="G15" s="1" t="s">
        <x:v>20</x:v>
      </x:c>
      <x:c r="H15" s="1" t="s">
        <x:v>47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48</x:v>
      </x:c>
      <x:c r="B16" s="2" t="s">
        <x:v>18</x:v>
      </x:c>
      <x:c r="C16" s="2">
        <x:f>HYPERLINK("https://team-v23u.testit.software/projects/142/tests/456", "Как заказать")</x:f>
      </x:c>
      <x:c r="D16" s="1" t="s">
        <x:v>19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21</x:v>
      </x:c>
      <x:c r="M16" s="1" t="s">
        <x:v>22</x:v>
      </x:c>
      <x:c r="N16" s="1" t="s">
        <x:v>49</x:v>
      </x:c>
      <x:c r="O16" s="1" t="s">
        <x:v>24</x:v>
      </x:c>
      <x:c r="P16" s="1" t="s">
        <x:v>34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50</x:v>
      </x:c>
      <x:c r="G18" s="1" t="s">
        <x:v>20</x:v>
      </x:c>
      <x:c r="H18" s="1" t="s">
        <x:v>47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51</x:v>
      </x:c>
      <x:c r="B19" s="2" t="s">
        <x:v>18</x:v>
      </x:c>
      <x:c r="C19" s="2">
        <x:f>HYPERLINK("https://team-v23u.testit.software/projects/142/tests/457", "Условия и тарифы")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52</x:v>
      </x:c>
      <x:c r="O19" s="1" t="s">
        <x:v>24</x:v>
      </x:c>
      <x:c r="P19" s="1" t="s">
        <x:v>34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26</x:v>
      </x:c>
      <x:c r="G20" s="1" t="s">
        <x:v>20</x:v>
      </x:c>
      <x:c r="H20" s="1" t="s">
        <x:v>27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53</x:v>
      </x:c>
      <x:c r="G21" s="1" t="s">
        <x:v>20</x:v>
      </x:c>
      <x:c r="H21" s="1" t="s">
        <x:v>54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55</x:v>
      </x:c>
      <x:c r="G22" s="1" t="s">
        <x:v>20</x:v>
      </x:c>
      <x:c r="H22" s="1" t="s">
        <x:v>47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53</x:v>
      </x:c>
      <x:c r="G23" s="1" t="s">
        <x:v>20</x:v>
      </x:c>
      <x:c r="H23" s="1" t="s">
        <x:v>54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56</x:v>
      </x:c>
      <x:c r="G24" s="1" t="s">
        <x:v>20</x:v>
      </x:c>
      <x:c r="H24" s="1" t="s">
        <x:v>47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53</x:v>
      </x:c>
      <x:c r="G25" s="1" t="s">
        <x:v>20</x:v>
      </x:c>
      <x:c r="H25" s="1" t="s">
        <x:v>54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57</x:v>
      </x:c>
      <x:c r="G26" s="1" t="s">
        <x:v>20</x:v>
      </x:c>
      <x:c r="H26" s="1" t="s">
        <x:v>47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58</x:v>
      </x:c>
      <x:c r="B27" s="2" t="s">
        <x:v>18</x:v>
      </x:c>
      <x:c r="C27" s="2">
        <x:f>HYPERLINK("https://team-v23u.testit.software/projects/142/tests/458", "каталог - список")</x:f>
      </x:c>
      <x:c r="D27" s="1" t="s">
        <x:v>19</x:v>
      </x:c>
      <x:c r="E27" s="1" t="s">
        <x:v>20</x:v>
      </x:c>
      <x:c r="F27" s="1" t="s">
        <x:v>20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21</x:v>
      </x:c>
      <x:c r="M27" s="1" t="s">
        <x:v>22</x:v>
      </x:c>
      <x:c r="N27" s="1" t="s">
        <x:v>59</x:v>
      </x:c>
      <x:c r="O27" s="1" t="s">
        <x:v>24</x:v>
      </x:c>
      <x:c r="P27" s="1" t="s">
        <x:v>34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26</x:v>
      </x:c>
      <x:c r="G28" s="1" t="s">
        <x:v>20</x:v>
      </x:c>
      <x:c r="H28" s="1" t="s">
        <x:v>27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40</x:v>
      </x:c>
      <x:c r="G29" s="1" t="s">
        <x:v>20</x:v>
      </x:c>
      <x:c r="H29" s="1" t="s">
        <x:v>41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60</x:v>
      </x:c>
      <x:c r="G30" s="1" t="s">
        <x:v>20</x:v>
      </x:c>
      <x:c r="H30" s="1" t="s">
        <x:v>47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61</x:v>
      </x:c>
      <x:c r="B31" s="2" t="s">
        <x:v>18</x:v>
      </x:c>
      <x:c r="C31" s="2">
        <x:f>HYPERLINK("https://team-v23u.testit.software/projects/142/tests/459", "Вопрос-ответ")</x:f>
      </x:c>
      <x:c r="D31" s="1" t="s">
        <x:v>19</x:v>
      </x:c>
      <x:c r="E31" s="1" t="s">
        <x:v>20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21</x:v>
      </x:c>
      <x:c r="M31" s="1" t="s">
        <x:v>22</x:v>
      </x:c>
      <x:c r="N31" s="1" t="s">
        <x:v>62</x:v>
      </x:c>
      <x:c r="O31" s="1" t="s">
        <x:v>24</x:v>
      </x:c>
      <x:c r="P31" s="1" t="s">
        <x:v>34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26</x:v>
      </x:c>
      <x:c r="G32" s="1" t="s">
        <x:v>20</x:v>
      </x:c>
      <x:c r="H32" s="1" t="s">
        <x:v>27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63</x:v>
      </x:c>
      <x:c r="G33" s="1" t="s">
        <x:v>20</x:v>
      </x:c>
      <x:c r="H33" s="1" t="s">
        <x:v>47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64</x:v>
      </x:c>
      <x:c r="B34" s="2" t="s">
        <x:v>18</x:v>
      </x:c>
      <x:c r="C34" s="2">
        <x:f>HYPERLINK("https://team-v23u.testit.software/projects/142/tests/460", "Отзывы")</x:f>
      </x:c>
      <x:c r="D34" s="1" t="s">
        <x:v>19</x:v>
      </x:c>
      <x:c r="E34" s="1" t="s">
        <x:v>20</x:v>
      </x:c>
      <x:c r="F34" s="1" t="s">
        <x:v>20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21</x:v>
      </x:c>
      <x:c r="M34" s="1" t="s">
        <x:v>22</x:v>
      </x:c>
      <x:c r="N34" s="1" t="s">
        <x:v>65</x:v>
      </x:c>
      <x:c r="O34" s="1" t="s">
        <x:v>24</x:v>
      </x:c>
      <x:c r="P34" s="1" t="s">
        <x:v>34</x:v>
      </x:c>
      <x:c r="Q34" s="1" t="s">
        <x:v>39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26</x:v>
      </x:c>
      <x:c r="G35" s="1" t="s">
        <x:v>20</x:v>
      </x:c>
      <x:c r="H35" s="1" t="s">
        <x:v>27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66</x:v>
      </x:c>
      <x:c r="G36" s="1" t="s">
        <x:v>20</x:v>
      </x:c>
      <x:c r="H36" s="1" t="s">
        <x:v>67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68</x:v>
      </x:c>
      <x:c r="B37" s="2" t="s">
        <x:v>18</x:v>
      </x:c>
      <x:c r="C37" s="2">
        <x:f>HYPERLINK("https://team-v23u.testit.software/projects/142/tests/461", "О нас")</x:f>
      </x:c>
      <x:c r="D37" s="1" t="s">
        <x:v>19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21</x:v>
      </x:c>
      <x:c r="M37" s="1" t="s">
        <x:v>22</x:v>
      </x:c>
      <x:c r="N37" s="1" t="s">
        <x:v>69</x:v>
      </x:c>
      <x:c r="O37" s="1" t="s">
        <x:v>24</x:v>
      </x:c>
      <x:c r="P37" s="1" t="s">
        <x:v>34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26</x:v>
      </x:c>
      <x:c r="G38" s="1" t="s">
        <x:v>20</x:v>
      </x:c>
      <x:c r="H38" s="1" t="s">
        <x:v>27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70</x:v>
      </x:c>
      <x:c r="G39" s="1" t="s">
        <x:v>20</x:v>
      </x:c>
      <x:c r="H39" s="1" t="s">
        <x:v>47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71</x:v>
      </x:c>
      <x:c r="B40" s="2" t="s">
        <x:v>18</x:v>
      </x:c>
      <x:c r="C40" s="2">
        <x:f>HYPERLINK("https://team-v23u.testit.software/projects/142/tests/462", "Контакты")</x:f>
      </x:c>
      <x:c r="D40" s="1" t="s">
        <x:v>19</x:v>
      </x:c>
      <x:c r="E40" s="1" t="s">
        <x:v>20</x:v>
      </x:c>
      <x:c r="F40" s="1" t="s">
        <x:v>20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21</x:v>
      </x:c>
      <x:c r="M40" s="1" t="s">
        <x:v>22</x:v>
      </x:c>
      <x:c r="N40" s="1" t="s">
        <x:v>72</x:v>
      </x:c>
      <x:c r="O40" s="1" t="s">
        <x:v>24</x:v>
      </x:c>
      <x:c r="P40" s="1" t="s">
        <x:v>34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26</x:v>
      </x:c>
      <x:c r="G41" s="1" t="s">
        <x:v>20</x:v>
      </x:c>
      <x:c r="H41" s="1" t="s">
        <x:v>27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73</x:v>
      </x:c>
      <x:c r="G42" s="1" t="s">
        <x:v>20</x:v>
      </x:c>
      <x:c r="H42" s="1" t="s">
        <x:v>47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74</x:v>
      </x:c>
      <x:c r="B43" s="2" t="s">
        <x:v>18</x:v>
      </x:c>
      <x:c r="C43" s="2">
        <x:f>HYPERLINK("https://team-v23u.testit.software/projects/142/tests/463", "Конвертик")</x:f>
      </x:c>
      <x:c r="D43" s="1" t="s">
        <x:v>19</x:v>
      </x:c>
      <x:c r="E43" s="1" t="s">
        <x:v>20</x:v>
      </x:c>
      <x:c r="F43" s="1" t="s">
        <x:v>20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21</x:v>
      </x:c>
      <x:c r="M43" s="1" t="s">
        <x:v>22</x:v>
      </x:c>
      <x:c r="N43" s="1" t="s">
        <x:v>75</x:v>
      </x:c>
      <x:c r="O43" s="1" t="s">
        <x:v>24</x:v>
      </x:c>
      <x:c r="P43" s="1" t="s">
        <x:v>34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26</x:v>
      </x:c>
      <x:c r="G44" s="1" t="s">
        <x:v>20</x:v>
      </x:c>
      <x:c r="H44" s="1" t="s">
        <x:v>27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76</x:v>
      </x:c>
      <x:c r="G45" s="1" t="s">
        <x:v>20</x:v>
      </x:c>
      <x:c r="H45" s="1" t="s">
        <x:v>77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78</x:v>
      </x:c>
      <x:c r="B46" s="2" t="s">
        <x:v>18</x:v>
      </x:c>
      <x:c r="C46" s="2">
        <x:f>HYPERLINK("https://team-v23u.testit.software/projects/142/tests/464", "Facebook")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22</x:v>
      </x:c>
      <x:c r="N46" s="1" t="s">
        <x:v>79</x:v>
      </x:c>
      <x:c r="O46" s="1" t="s">
        <x:v>24</x:v>
      </x:c>
      <x:c r="P46" s="1" t="s">
        <x:v>34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26</x:v>
      </x:c>
      <x:c r="G47" s="1" t="s">
        <x:v>20</x:v>
      </x:c>
      <x:c r="H47" s="1" t="s">
        <x:v>27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80</x:v>
      </x:c>
      <x:c r="G48" s="1" t="s">
        <x:v>20</x:v>
      </x:c>
      <x:c r="H48" s="1" t="s">
        <x:v>81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82</x:v>
      </x:c>
      <x:c r="B49" s="2" t="s">
        <x:v>18</x:v>
      </x:c>
      <x:c r="C49" s="2">
        <x:f>HYPERLINK("https://team-v23u.testit.software/projects/142/tests/465", "Инста")</x:f>
      </x:c>
      <x:c r="D49" s="1" t="s">
        <x:v>19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21</x:v>
      </x:c>
      <x:c r="M49" s="1" t="s">
        <x:v>22</x:v>
      </x:c>
      <x:c r="N49" s="1" t="s">
        <x:v>83</x:v>
      </x:c>
      <x:c r="O49" s="1" t="s">
        <x:v>24</x:v>
      </x:c>
      <x:c r="P49" s="1" t="s">
        <x:v>34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26</x:v>
      </x:c>
      <x:c r="G50" s="1" t="s">
        <x:v>20</x:v>
      </x:c>
      <x:c r="H50" s="1" t="s">
        <x:v>27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84</x:v>
      </x:c>
      <x:c r="G51" s="1" t="s">
        <x:v>20</x:v>
      </x:c>
      <x:c r="H51" s="1" t="s">
        <x:v>85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86</x:v>
      </x:c>
      <x:c r="B52" s="2" t="s">
        <x:v>18</x:v>
      </x:c>
      <x:c r="C52" s="2">
        <x:f>HYPERLINK("https://team-v23u.testit.software/projects/142/tests/466", "Телеграм")</x:f>
      </x:c>
      <x:c r="D52" s="1" t="s">
        <x:v>19</x:v>
      </x:c>
      <x:c r="E52" s="1" t="s">
        <x:v>20</x:v>
      </x:c>
      <x:c r="F52" s="1" t="s">
        <x:v>20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21</x:v>
      </x:c>
      <x:c r="M52" s="1" t="s">
        <x:v>22</x:v>
      </x:c>
      <x:c r="N52" s="1" t="s">
        <x:v>87</x:v>
      </x:c>
      <x:c r="O52" s="1" t="s">
        <x:v>24</x:v>
      </x:c>
      <x:c r="P52" s="1" t="s">
        <x:v>34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26</x:v>
      </x:c>
      <x:c r="G53" s="1" t="s">
        <x:v>20</x:v>
      </x:c>
      <x:c r="H53" s="1" t="s">
        <x:v>27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88</x:v>
      </x:c>
      <x:c r="G54" s="1" t="s">
        <x:v>20</x:v>
      </x:c>
      <x:c r="H54" s="1" t="s">
        <x:v>89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90</x:v>
      </x:c>
      <x:c r="B55" s="2" t="s">
        <x:v>18</x:v>
      </x:c>
      <x:c r="C55" s="2">
        <x:f>HYPERLINK("https://team-v23u.testit.software/projects/142/tests/467", "Тикток")</x:f>
      </x:c>
      <x:c r="D55" s="1" t="s">
        <x:v>19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21</x:v>
      </x:c>
      <x:c r="M55" s="1" t="s">
        <x:v>22</x:v>
      </x:c>
      <x:c r="N55" s="1" t="s">
        <x:v>91</x:v>
      </x:c>
      <x:c r="O55" s="1" t="s">
        <x:v>24</x:v>
      </x:c>
      <x:c r="P55" s="1" t="s">
        <x:v>34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26</x:v>
      </x:c>
      <x:c r="G56" s="1" t="s">
        <x:v>20</x:v>
      </x:c>
      <x:c r="H56" s="1" t="s">
        <x:v>27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92</x:v>
      </x:c>
      <x:c r="G57" s="1" t="s">
        <x:v>20</x:v>
      </x:c>
      <x:c r="H57" s="1" t="s">
        <x:v>93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94</x:v>
      </x:c>
      <x:c r="B58" s="2" t="s">
        <x:v>18</x:v>
      </x:c>
      <x:c r="C58" s="2">
        <x:f>HYPERLINK("https://team-v23u.testit.software/projects/142/tests/468", "Youtube")</x:f>
      </x:c>
      <x:c r="D58" s="1" t="s">
        <x:v>19</x:v>
      </x:c>
      <x:c r="E58" s="1" t="s">
        <x:v>20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21</x:v>
      </x:c>
      <x:c r="M58" s="1" t="s">
        <x:v>22</x:v>
      </x:c>
      <x:c r="N58" s="1" t="s">
        <x:v>95</x:v>
      </x:c>
      <x:c r="O58" s="1" t="s">
        <x:v>24</x:v>
      </x:c>
      <x:c r="P58" s="1" t="s">
        <x:v>34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26</x:v>
      </x:c>
      <x:c r="G59" s="1" t="s">
        <x:v>20</x:v>
      </x:c>
      <x:c r="H59" s="1" t="s">
        <x:v>27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96</x:v>
      </x:c>
      <x:c r="G60" s="1" t="s">
        <x:v>20</x:v>
      </x:c>
      <x:c r="H60" s="1" t="s">
        <x:v>97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98</x:v>
      </x:c>
      <x:c r="B61" s="2" t="s">
        <x:v>18</x:v>
      </x:c>
      <x:c r="C61" s="2">
        <x:f>HYPERLINK("https://team-v23u.testit.software/projects/142/tests/469", "VK")</x:f>
      </x:c>
      <x:c r="D61" s="1" t="s">
        <x:v>19</x:v>
      </x:c>
      <x:c r="E61" s="1" t="s">
        <x:v>20</x:v>
      </x:c>
      <x:c r="F61" s="1" t="s">
        <x:v>20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20</x:v>
      </x:c>
      <x:c r="L61" s="1" t="s">
        <x:v>21</x:v>
      </x:c>
      <x:c r="M61" s="1" t="s">
        <x:v>22</x:v>
      </x:c>
      <x:c r="N61" s="1" t="s">
        <x:v>99</x:v>
      </x:c>
      <x:c r="O61" s="1" t="s">
        <x:v>24</x:v>
      </x:c>
      <x:c r="P61" s="1" t="s">
        <x:v>34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26</x:v>
      </x:c>
      <x:c r="G62" s="1" t="s">
        <x:v>20</x:v>
      </x:c>
      <x:c r="H62" s="1" t="s">
        <x:v>27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100</x:v>
      </x:c>
      <x:c r="G63" s="1" t="s">
        <x:v>20</x:v>
      </x:c>
      <x:c r="H63" s="1" t="s">
        <x:v>101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102</x:v>
      </x:c>
      <x:c r="B64" s="2" t="s">
        <x:v>18</x:v>
      </x:c>
      <x:c r="C64" s="2">
        <x:f>HYPERLINK("https://team-v23u.testit.software/projects/142/tests/470", "поиск")</x:f>
      </x:c>
      <x:c r="D64" s="1" t="s">
        <x:v>19</x:v>
      </x:c>
      <x:c r="E64" s="1" t="s">
        <x:v>20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21</x:v>
      </x:c>
      <x:c r="M64" s="1" t="s">
        <x:v>22</x:v>
      </x:c>
      <x:c r="N64" s="1" t="s">
        <x:v>103</x:v>
      </x:c>
      <x:c r="O64" s="1" t="s">
        <x:v>24</x:v>
      </x:c>
      <x:c r="P64" s="1" t="s">
        <x:v>34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26</x:v>
      </x:c>
      <x:c r="G65" s="1" t="s">
        <x:v>20</x:v>
      </x:c>
      <x:c r="H65" s="1" t="s">
        <x:v>27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104</x:v>
      </x:c>
      <x:c r="G66" s="1" t="s">
        <x:v>20</x:v>
      </x:c>
      <x:c r="H66" s="1" t="s">
        <x:v>105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106</x:v>
      </x:c>
      <x:c r="G67" s="1" t="s">
        <x:v>20</x:v>
      </x:c>
      <x:c r="H67" s="1" t="s">
        <x:v>107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108</x:v>
      </x:c>
      <x:c r="B68" s="2" t="s">
        <x:v>18</x:v>
      </x:c>
      <x:c r="C68" s="2">
        <x:f>HYPERLINK("https://team-v23u.testit.software/projects/142/tests/471", "поиск-enter")</x:f>
      </x:c>
      <x:c r="D68" s="1" t="s">
        <x:v>19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21</x:v>
      </x:c>
      <x:c r="M68" s="1" t="s">
        <x:v>22</x:v>
      </x:c>
      <x:c r="N68" s="1" t="s">
        <x:v>109</x:v>
      </x:c>
      <x:c r="O68" s="1" t="s">
        <x:v>24</x:v>
      </x:c>
      <x:c r="P68" s="1" t="s">
        <x:v>34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26</x:v>
      </x:c>
      <x:c r="G69" s="1" t="s">
        <x:v>20</x:v>
      </x:c>
      <x:c r="H69" s="1" t="s">
        <x:v>27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110</x:v>
      </x:c>
      <x:c r="G70" s="1" t="s">
        <x:v>20</x:v>
      </x:c>
      <x:c r="H70" s="1" t="s">
        <x:v>111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112</x:v>
      </x:c>
      <x:c r="B71" s="2" t="s">
        <x:v>18</x:v>
      </x:c>
      <x:c r="C71" s="2">
        <x:f>HYPERLINK("https://team-v23u.testit.software/projects/142/tests/472", "Авторизация без регистрации-валид")</x:f>
      </x:c>
      <x:c r="D71" s="1" t="s">
        <x:v>19</x:v>
      </x:c>
      <x:c r="E71" s="1" t="s">
        <x:v>20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21</x:v>
      </x:c>
      <x:c r="M71" s="1" t="s">
        <x:v>22</x:v>
      </x:c>
      <x:c r="N71" s="1" t="s">
        <x:v>113</x:v>
      </x:c>
      <x:c r="O71" s="1" t="s">
        <x:v>24</x:v>
      </x:c>
      <x:c r="P71" s="1" t="s">
        <x:v>34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26</x:v>
      </x:c>
      <x:c r="G72" s="1" t="s">
        <x:v>20</x:v>
      </x:c>
      <x:c r="H72" s="1" t="s">
        <x:v>27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114</x:v>
      </x:c>
      <x:c r="G73" s="1" t="s">
        <x:v>20</x:v>
      </x:c>
      <x:c r="H73" s="1" t="s">
        <x:v>115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116</x:v>
      </x:c>
      <x:c r="G74" s="1" t="s">
        <x:v>20</x:v>
      </x:c>
      <x:c r="H74" s="1" t="s">
        <x:v>117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118</x:v>
      </x:c>
      <x:c r="B75" s="2" t="s">
        <x:v>18</x:v>
      </x:c>
      <x:c r="C75" s="2">
        <x:f>HYPERLINK("https://team-v23u.testit.software/projects/142/tests/473", "Авторизация без регистрации-невалид")</x:f>
      </x:c>
      <x:c r="D75" s="1" t="s">
        <x:v>19</x:v>
      </x:c>
      <x:c r="E75" s="1" t="s">
        <x:v>20</x:v>
      </x:c>
      <x:c r="F75" s="1" t="s">
        <x:v>20</x:v>
      </x:c>
      <x:c r="G75" s="1" t="s">
        <x:v>20</x:v>
      </x:c>
      <x:c r="H75" s="1" t="s">
        <x:v>20</x:v>
      </x:c>
      <x:c r="I75" s="1" t="s">
        <x:v>20</x:v>
      </x:c>
      <x:c r="J75" s="1" t="s">
        <x:v>20</x:v>
      </x:c>
      <x:c r="K75" s="1" t="s">
        <x:v>20</x:v>
      </x:c>
      <x:c r="L75" s="1" t="s">
        <x:v>21</x:v>
      </x:c>
      <x:c r="M75" s="1" t="s">
        <x:v>22</x:v>
      </x:c>
      <x:c r="N75" s="1" t="s">
        <x:v>119</x:v>
      </x:c>
      <x:c r="O75" s="1" t="s">
        <x:v>24</x:v>
      </x:c>
      <x:c r="P75" s="1" t="s">
        <x:v>34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26</x:v>
      </x:c>
      <x:c r="G76" s="1" t="s">
        <x:v>20</x:v>
      </x:c>
      <x:c r="H76" s="1" t="s">
        <x:v>27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114</x:v>
      </x:c>
      <x:c r="G77" s="1" t="s">
        <x:v>20</x:v>
      </x:c>
      <x:c r="H77" s="1" t="s">
        <x:v>115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120</x:v>
      </x:c>
      <x:c r="G78" s="1" t="s">
        <x:v>20</x:v>
      </x:c>
      <x:c r="H78" s="1" t="s">
        <x:v>121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122</x:v>
      </x:c>
      <x:c r="B79" s="2" t="s">
        <x:v>18</x:v>
      </x:c>
      <x:c r="C79" s="2">
        <x:f>HYPERLINK("https://team-v23u.testit.software/projects/142/tests/474", "Регистрация-невалид имейл")</x:f>
      </x:c>
      <x:c r="D79" s="1" t="s">
        <x:v>19</x:v>
      </x:c>
      <x:c r="E79" s="1" t="s">
        <x:v>20</x:v>
      </x:c>
      <x:c r="F79" s="1" t="s">
        <x:v>20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20</x:v>
      </x:c>
      <x:c r="L79" s="1" t="s">
        <x:v>21</x:v>
      </x:c>
      <x:c r="M79" s="1" t="s">
        <x:v>22</x:v>
      </x:c>
      <x:c r="N79" s="1" t="s">
        <x:v>123</x:v>
      </x:c>
      <x:c r="O79" s="1" t="s">
        <x:v>24</x:v>
      </x:c>
      <x:c r="P79" s="1" t="s">
        <x:v>34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26</x:v>
      </x:c>
      <x:c r="G80" s="1" t="s">
        <x:v>20</x:v>
      </x:c>
      <x:c r="H80" s="1" t="s">
        <x:v>27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30</x:v>
      </x:c>
      <x:c r="G81" s="1" t="s">
        <x:v>20</x:v>
      </x:c>
      <x:c r="H81" s="1" t="s">
        <x:v>31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124</x:v>
      </x:c>
      <x:c r="G82" s="1" t="s">
        <x:v>20</x:v>
      </x:c>
      <x:c r="H82" s="1" t="s">
        <x:v>125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126</x:v>
      </x:c>
      <x:c r="B83" s="2" t="s">
        <x:v>18</x:v>
      </x:c>
      <x:c r="C83" s="2">
        <x:f>HYPERLINK("https://team-v23u.testit.software/projects/142/tests/476", "Рега-валид имейл-пусто")</x:f>
      </x:c>
      <x:c r="D83" s="1" t="s">
        <x:v>19</x:v>
      </x:c>
      <x:c r="E83" s="1" t="s">
        <x:v>20</x:v>
      </x:c>
      <x:c r="F83" s="1" t="s">
        <x:v>20</x:v>
      </x:c>
      <x:c r="G83" s="1" t="s">
        <x:v>20</x:v>
      </x:c>
      <x:c r="H83" s="1" t="s">
        <x:v>20</x:v>
      </x:c>
      <x:c r="I83" s="1" t="s">
        <x:v>20</x:v>
      </x:c>
      <x:c r="J83" s="1" t="s">
        <x:v>20</x:v>
      </x:c>
      <x:c r="K83" s="1" t="s">
        <x:v>20</x:v>
      </x:c>
      <x:c r="L83" s="1" t="s">
        <x:v>21</x:v>
      </x:c>
      <x:c r="M83" s="1" t="s">
        <x:v>22</x:v>
      </x:c>
      <x:c r="N83" s="1" t="s">
        <x:v>127</x:v>
      </x:c>
      <x:c r="O83" s="1" t="s">
        <x:v>24</x:v>
      </x:c>
      <x:c r="P83" s="1" t="s">
        <x:v>34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26</x:v>
      </x:c>
      <x:c r="G84" s="1" t="s">
        <x:v>20</x:v>
      </x:c>
      <x:c r="H84" s="1" t="s">
        <x:v>27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30</x:v>
      </x:c>
      <x:c r="G85" s="1" t="s">
        <x:v>20</x:v>
      </x:c>
      <x:c r="H85" s="1" t="s">
        <x:v>31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128</x:v>
      </x:c>
      <x:c r="G86" s="1" t="s">
        <x:v>20</x:v>
      </x:c>
      <x:c r="H86" s="1" t="s">
        <x:v>129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130</x:v>
      </x:c>
      <x:c r="B87" s="2" t="s">
        <x:v>18</x:v>
      </x:c>
      <x:c r="C87" s="2">
        <x:f>HYPERLINK("https://team-v23u.testit.software/projects/142/tests/477", "Рега-валид имейл-невалид поля")</x:f>
      </x:c>
      <x:c r="D87" s="1" t="s">
        <x:v>19</x:v>
      </x:c>
      <x:c r="E87" s="1" t="s">
        <x:v>20</x:v>
      </x:c>
      <x:c r="F87" s="1" t="s">
        <x:v>20</x:v>
      </x:c>
      <x:c r="G87" s="1" t="s">
        <x:v>20</x:v>
      </x:c>
      <x:c r="H87" s="1" t="s">
        <x:v>20</x:v>
      </x:c>
      <x:c r="I87" s="1" t="s">
        <x:v>20</x:v>
      </x:c>
      <x:c r="J87" s="1" t="s">
        <x:v>20</x:v>
      </x:c>
      <x:c r="K87" s="1" t="s">
        <x:v>20</x:v>
      </x:c>
      <x:c r="L87" s="1" t="s">
        <x:v>21</x:v>
      </x:c>
      <x:c r="M87" s="1" t="s">
        <x:v>22</x:v>
      </x:c>
      <x:c r="N87" s="1" t="s">
        <x:v>131</x:v>
      </x:c>
      <x:c r="O87" s="1" t="s">
        <x:v>24</x:v>
      </x:c>
      <x:c r="P87" s="1" t="s">
        <x:v>34</x:v>
      </x:c>
      <x:c r="Q87" s="1" t="s">
        <x:v>39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26</x:v>
      </x:c>
      <x:c r="G88" s="1" t="s">
        <x:v>20</x:v>
      </x:c>
      <x:c r="H88" s="1" t="s">
        <x:v>27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30</x:v>
      </x:c>
      <x:c r="G89" s="1" t="s">
        <x:v>20</x:v>
      </x:c>
      <x:c r="H89" s="1" t="s">
        <x:v>31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132</x:v>
      </x:c>
      <x:c r="G90" s="1" t="s">
        <x:v>20</x:v>
      </x:c>
      <x:c r="H90" s="1" t="s">
        <x:v>133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134</x:v>
      </x:c>
      <x:c r="B91" s="2" t="s">
        <x:v>18</x:v>
      </x:c>
      <x:c r="C91" s="2">
        <x:f>HYPERLINK("https://team-v23u.testit.software/projects/142/tests/478", " Рега-валид все-без капчи")</x:f>
      </x:c>
      <x:c r="D91" s="1" t="s">
        <x:v>19</x:v>
      </x:c>
      <x:c r="E91" s="1" t="s">
        <x:v>20</x:v>
      </x:c>
      <x:c r="F91" s="1" t="s">
        <x:v>20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21</x:v>
      </x:c>
      <x:c r="M91" s="1" t="s">
        <x:v>22</x:v>
      </x:c>
      <x:c r="N91" s="1" t="s">
        <x:v>135</x:v>
      </x:c>
      <x:c r="O91" s="1" t="s">
        <x:v>24</x:v>
      </x:c>
      <x:c r="P91" s="1" t="s">
        <x:v>34</x:v>
      </x:c>
      <x:c r="Q91" s="1" t="s">
        <x:v>39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26</x:v>
      </x:c>
      <x:c r="G92" s="1" t="s">
        <x:v>20</x:v>
      </x:c>
      <x:c r="H92" s="1" t="s">
        <x:v>27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30</x:v>
      </x:c>
      <x:c r="G93" s="1" t="s">
        <x:v>20</x:v>
      </x:c>
      <x:c r="H93" s="1" t="s">
        <x:v>31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136</x:v>
      </x:c>
      <x:c r="G94" s="1" t="s">
        <x:v>20</x:v>
      </x:c>
      <x:c r="H94" s="1" t="s">
        <x:v>137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138</x:v>
      </x:c>
      <x:c r="B95" s="2" t="s">
        <x:v>18</x:v>
      </x:c>
      <x:c r="C95" s="2">
        <x:f>HYPERLINK("https://team-v23u.testit.software/projects/142/tests/479", "Рега-валид все-без галочки")</x:f>
      </x:c>
      <x:c r="D95" s="1" t="s">
        <x:v>19</x:v>
      </x:c>
      <x:c r="E95" s="1" t="s">
        <x:v>20</x:v>
      </x:c>
      <x:c r="F95" s="1" t="s">
        <x:v>20</x:v>
      </x:c>
      <x:c r="G95" s="1" t="s">
        <x:v>20</x:v>
      </x:c>
      <x:c r="H95" s="1" t="s">
        <x:v>20</x:v>
      </x:c>
      <x:c r="I95" s="1" t="s">
        <x:v>20</x:v>
      </x:c>
      <x:c r="J95" s="1" t="s">
        <x:v>20</x:v>
      </x:c>
      <x:c r="K95" s="1" t="s">
        <x:v>20</x:v>
      </x:c>
      <x:c r="L95" s="1" t="s">
        <x:v>21</x:v>
      </x:c>
      <x:c r="M95" s="1" t="s">
        <x:v>22</x:v>
      </x:c>
      <x:c r="N95" s="1" t="s">
        <x:v>139</x:v>
      </x:c>
      <x:c r="O95" s="1" t="s">
        <x:v>24</x:v>
      </x:c>
      <x:c r="P95" s="1" t="s">
        <x:v>34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26</x:v>
      </x:c>
      <x:c r="G96" s="1" t="s">
        <x:v>20</x:v>
      </x:c>
      <x:c r="H96" s="1" t="s">
        <x:v>27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30</x:v>
      </x:c>
      <x:c r="G97" s="1" t="s">
        <x:v>20</x:v>
      </x:c>
      <x:c r="H97" s="1" t="s">
        <x:v>31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140</x:v>
      </x:c>
      <x:c r="G98" s="1" t="s">
        <x:v>20</x:v>
      </x:c>
      <x:c r="H98" s="1" t="s">
        <x:v>141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142</x:v>
      </x:c>
      <x:c r="B99" s="2" t="s">
        <x:v>18</x:v>
      </x:c>
      <x:c r="C99" s="2">
        <x:f>HYPERLINK("https://team-v23u.testit.software/projects/142/tests/480", " Рега-валид все-регион")</x:f>
      </x:c>
      <x:c r="D99" s="1" t="s">
        <x:v>19</x:v>
      </x:c>
      <x:c r="E99" s="1" t="s">
        <x:v>20</x:v>
      </x:c>
      <x:c r="F99" s="1" t="s">
        <x:v>20</x:v>
      </x:c>
      <x:c r="G99" s="1" t="s">
        <x:v>20</x:v>
      </x:c>
      <x:c r="H99" s="1" t="s">
        <x:v>20</x:v>
      </x:c>
      <x:c r="I99" s="1" t="s">
        <x:v>20</x:v>
      </x:c>
      <x:c r="J99" s="1" t="s">
        <x:v>20</x:v>
      </x:c>
      <x:c r="K99" s="1" t="s">
        <x:v>20</x:v>
      </x:c>
      <x:c r="L99" s="1" t="s">
        <x:v>21</x:v>
      </x:c>
      <x:c r="M99" s="1" t="s">
        <x:v>22</x:v>
      </x:c>
      <x:c r="N99" s="1" t="s">
        <x:v>143</x:v>
      </x:c>
      <x:c r="O99" s="1" t="s">
        <x:v>24</x:v>
      </x:c>
      <x:c r="P99" s="1" t="s">
        <x:v>34</x:v>
      </x:c>
      <x:c r="Q99" s="1" t="s">
        <x:v>39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26</x:v>
      </x:c>
      <x:c r="G100" s="1" t="s">
        <x:v>20</x:v>
      </x:c>
      <x:c r="H100" s="1" t="s">
        <x:v>27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30</x:v>
      </x:c>
      <x:c r="G101" s="1" t="s">
        <x:v>20</x:v>
      </x:c>
      <x:c r="H101" s="1" t="s">
        <x:v>31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144</x:v>
      </x:c>
      <x:c r="G102" s="1" t="s">
        <x:v>20</x:v>
      </x:c>
      <x:c r="H102" s="1" t="s">
        <x:v>145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146</x:v>
      </x:c>
      <x:c r="B103" s="2" t="s">
        <x:v>18</x:v>
      </x:c>
      <x:c r="C103" s="2">
        <x:f>HYPERLINK("https://team-v23u.testit.software/projects/142/tests/481", " Рега-валид все-повтор пароля")</x:f>
      </x:c>
      <x:c r="D103" s="1" t="s">
        <x:v>19</x:v>
      </x:c>
      <x:c r="E103" s="1" t="s">
        <x:v>20</x:v>
      </x:c>
      <x:c r="F103" s="1" t="s">
        <x:v>20</x:v>
      </x:c>
      <x:c r="G103" s="1" t="s">
        <x:v>20</x:v>
      </x:c>
      <x:c r="H103" s="1" t="s">
        <x:v>20</x:v>
      </x:c>
      <x:c r="I103" s="1" t="s">
        <x:v>20</x:v>
      </x:c>
      <x:c r="J103" s="1" t="s">
        <x:v>20</x:v>
      </x:c>
      <x:c r="K103" s="1" t="s">
        <x:v>20</x:v>
      </x:c>
      <x:c r="L103" s="1" t="s">
        <x:v>21</x:v>
      </x:c>
      <x:c r="M103" s="1" t="s">
        <x:v>22</x:v>
      </x:c>
      <x:c r="N103" s="1" t="s">
        <x:v>147</x:v>
      </x:c>
      <x:c r="O103" s="1" t="s">
        <x:v>24</x:v>
      </x:c>
      <x:c r="P103" s="1" t="s">
        <x:v>34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26</x:v>
      </x:c>
      <x:c r="G104" s="1" t="s">
        <x:v>20</x:v>
      </x:c>
      <x:c r="H104" s="1" t="s">
        <x:v>27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30</x:v>
      </x:c>
      <x:c r="G105" s="1" t="s">
        <x:v>20</x:v>
      </x:c>
      <x:c r="H105" s="1" t="s">
        <x:v>31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148</x:v>
      </x:c>
      <x:c r="G106" s="1" t="s">
        <x:v>20</x:v>
      </x:c>
      <x:c r="H106" s="1" t="s">
        <x:v>149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150</x:v>
      </x:c>
      <x:c r="B107" s="2" t="s">
        <x:v>18</x:v>
      </x:c>
      <x:c r="C107" s="2">
        <x:f>HYPERLINK("https://team-v23u.testit.software/projects/142/tests/482", " Рега-все валид")</x:f>
      </x:c>
      <x:c r="D107" s="1" t="s">
        <x:v>19</x:v>
      </x:c>
      <x:c r="E107" s="1" t="s">
        <x:v>20</x:v>
      </x:c>
      <x:c r="F107" s="1" t="s">
        <x:v>20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21</x:v>
      </x:c>
      <x:c r="M107" s="1" t="s">
        <x:v>22</x:v>
      </x:c>
      <x:c r="N107" s="1" t="s">
        <x:v>151</x:v>
      </x:c>
      <x:c r="O107" s="1" t="s">
        <x:v>24</x:v>
      </x:c>
      <x:c r="P107" s="1" t="s">
        <x:v>34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26</x:v>
      </x:c>
      <x:c r="G108" s="1" t="s">
        <x:v>20</x:v>
      </x:c>
      <x:c r="H108" s="1" t="s">
        <x:v>27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30</x:v>
      </x:c>
      <x:c r="G109" s="1" t="s">
        <x:v>20</x:v>
      </x:c>
      <x:c r="H109" s="1" t="s">
        <x:v>31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152</x:v>
      </x:c>
      <x:c r="G110" s="1" t="s">
        <x:v>20</x:v>
      </x:c>
      <x:c r="H110" s="1" t="s">
        <x:v>153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20</x:v>
      </x:c>
      <x:c r="G111" s="1" t="s">
        <x:v>154</x:v>
      </x:c>
      <x:c r="H111" s="1" t="s">
        <x:v>20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155</x:v>
      </x:c>
      <x:c r="B112" s="2" t="s">
        <x:v>18</x:v>
      </x:c>
      <x:c r="C112" s="2">
        <x:f>HYPERLINK("https://team-v23u.testit.software/projects/142/tests/483", "  Рега по новой с той же почтой")</x:f>
      </x:c>
      <x:c r="D112" s="1" t="s">
        <x:v>19</x:v>
      </x:c>
      <x:c r="E112" s="1" t="s">
        <x:v>20</x:v>
      </x:c>
      <x:c r="F112" s="1" t="s">
        <x:v>20</x:v>
      </x:c>
      <x:c r="G112" s="1" t="s">
        <x:v>20</x:v>
      </x:c>
      <x:c r="H112" s="1" t="s">
        <x:v>20</x:v>
      </x:c>
      <x:c r="I112" s="1" t="s">
        <x:v>20</x:v>
      </x:c>
      <x:c r="J112" s="1" t="s">
        <x:v>20</x:v>
      </x:c>
      <x:c r="K112" s="1" t="s">
        <x:v>20</x:v>
      </x:c>
      <x:c r="L112" s="1" t="s">
        <x:v>21</x:v>
      </x:c>
      <x:c r="M112" s="1" t="s">
        <x:v>22</x:v>
      </x:c>
      <x:c r="N112" s="1" t="s">
        <x:v>156</x:v>
      </x:c>
      <x:c r="O112" s="1" t="s">
        <x:v>24</x:v>
      </x:c>
      <x:c r="P112" s="1" t="s">
        <x:v>34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26</x:v>
      </x:c>
      <x:c r="G113" s="1" t="s">
        <x:v>20</x:v>
      </x:c>
      <x:c r="H113" s="1" t="s">
        <x:v>27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30</x:v>
      </x:c>
      <x:c r="G114" s="1" t="s">
        <x:v>20</x:v>
      </x:c>
      <x:c r="H114" s="1" t="s">
        <x:v>31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157</x:v>
      </x:c>
      <x:c r="G115" s="1" t="s">
        <x:v>20</x:v>
      </x:c>
      <x:c r="H115" s="1" t="s">
        <x:v>158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20</x:v>
      </x:c>
      <x:c r="G116" s="1" t="s">
        <x:v>154</x:v>
      </x:c>
      <x:c r="H116" s="1" t="s">
        <x:v>20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159</x:v>
      </x:c>
      <x:c r="B117" s="2" t="s">
        <x:v>18</x:v>
      </x:c>
      <x:c r="C117" s="2">
        <x:f>HYPERLINK("https://team-v23u.testit.software/projects/142/tests/484", "авторизация")</x:f>
      </x:c>
      <x:c r="D117" s="1" t="s">
        <x:v>19</x:v>
      </x:c>
      <x:c r="E117" s="1" t="s">
        <x:v>20</x:v>
      </x:c>
      <x:c r="F117" s="1" t="s">
        <x:v>20</x:v>
      </x:c>
      <x:c r="G117" s="1" t="s">
        <x:v>20</x:v>
      </x:c>
      <x:c r="H117" s="1" t="s">
        <x:v>20</x:v>
      </x:c>
      <x:c r="I117" s="1" t="s">
        <x:v>20</x:v>
      </x:c>
      <x:c r="J117" s="1" t="s">
        <x:v>20</x:v>
      </x:c>
      <x:c r="K117" s="1" t="s">
        <x:v>20</x:v>
      </x:c>
      <x:c r="L117" s="1" t="s">
        <x:v>21</x:v>
      </x:c>
      <x:c r="M117" s="1" t="s">
        <x:v>22</x:v>
      </x:c>
      <x:c r="N117" s="1" t="s">
        <x:v>160</x:v>
      </x:c>
      <x:c r="O117" s="1" t="s">
        <x:v>24</x:v>
      </x:c>
      <x:c r="P117" s="1" t="s">
        <x:v>25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114</x:v>
      </x:c>
      <x:c r="G118" s="1" t="s">
        <x:v>20</x:v>
      </x:c>
      <x:c r="H118" s="1" t="s">
        <x:v>161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162</x:v>
      </x:c>
      <x:c r="B119" s="2" t="s">
        <x:v>18</x:v>
      </x:c>
      <x:c r="C119" s="2">
        <x:f>HYPERLINK("https://team-v23u.testit.software/projects/142/tests/485", "авторизация-неверный пароль")</x:f>
      </x:c>
      <x:c r="D119" s="1" t="s">
        <x:v>19</x:v>
      </x:c>
      <x:c r="E119" s="1" t="s">
        <x:v>20</x:v>
      </x:c>
      <x:c r="F119" s="1" t="s">
        <x:v>20</x:v>
      </x:c>
      <x:c r="G119" s="1" t="s">
        <x:v>20</x:v>
      </x:c>
      <x:c r="H119" s="1" t="s">
        <x:v>20</x:v>
      </x:c>
      <x:c r="I119" s="1" t="s">
        <x:v>20</x:v>
      </x:c>
      <x:c r="J119" s="1" t="s">
        <x:v>20</x:v>
      </x:c>
      <x:c r="K119" s="1" t="s">
        <x:v>20</x:v>
      </x:c>
      <x:c r="L119" s="1" t="s">
        <x:v>21</x:v>
      </x:c>
      <x:c r="M119" s="1" t="s">
        <x:v>22</x:v>
      </x:c>
      <x:c r="N119" s="1" t="s">
        <x:v>163</x:v>
      </x:c>
      <x:c r="O119" s="1" t="s">
        <x:v>24</x:v>
      </x:c>
      <x:c r="P119" s="1" t="s">
        <x:v>34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26</x:v>
      </x:c>
      <x:c r="G120" s="1" t="s">
        <x:v>20</x:v>
      </x:c>
      <x:c r="H120" s="1" t="s">
        <x:v>27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114</x:v>
      </x:c>
      <x:c r="G121" s="1" t="s">
        <x:v>20</x:v>
      </x:c>
      <x:c r="H121" s="1" t="s">
        <x:v>161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164</x:v>
      </x:c>
      <x:c r="G122" s="1" t="s">
        <x:v>20</x:v>
      </x:c>
      <x:c r="H122" s="1" t="s">
        <x:v>165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166</x:v>
      </x:c>
      <x:c r="G123" s="1" t="s">
        <x:v>20</x:v>
      </x:c>
      <x:c r="H123" s="1" t="s">
        <x:v>117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167</x:v>
      </x:c>
      <x:c r="B124" s="2" t="s">
        <x:v>18</x:v>
      </x:c>
      <x:c r="C124" s="2">
        <x:f>HYPERLINK("https://team-v23u.testit.software/projects/142/tests/486", "авторизация")</x:f>
      </x:c>
      <x:c r="D124" s="1" t="s">
        <x:v>19</x:v>
      </x:c>
      <x:c r="E124" s="1" t="s">
        <x:v>20</x:v>
      </x:c>
      <x:c r="F124" s="1" t="s">
        <x:v>20</x:v>
      </x:c>
      <x:c r="G124" s="1" t="s">
        <x:v>20</x:v>
      </x:c>
      <x:c r="H124" s="1" t="s">
        <x:v>20</x:v>
      </x:c>
      <x:c r="I124" s="1" t="s">
        <x:v>20</x:v>
      </x:c>
      <x:c r="J124" s="1" t="s">
        <x:v>20</x:v>
      </x:c>
      <x:c r="K124" s="1" t="s">
        <x:v>20</x:v>
      </x:c>
      <x:c r="L124" s="1" t="s">
        <x:v>21</x:v>
      </x:c>
      <x:c r="M124" s="1" t="s">
        <x:v>22</x:v>
      </x:c>
      <x:c r="N124" s="1" t="s">
        <x:v>168</x:v>
      </x:c>
      <x:c r="O124" s="1" t="s">
        <x:v>24</x:v>
      </x:c>
      <x:c r="P124" s="1" t="s">
        <x:v>34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26</x:v>
      </x:c>
      <x:c r="G125" s="1" t="s">
        <x:v>20</x:v>
      </x:c>
      <x:c r="H125" s="1" t="s">
        <x:v>27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114</x:v>
      </x:c>
      <x:c r="G126" s="1" t="s">
        <x:v>20</x:v>
      </x:c>
      <x:c r="H126" s="1" t="s">
        <x:v>161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164</x:v>
      </x:c>
      <x:c r="G127" s="1" t="s">
        <x:v>20</x:v>
      </x:c>
      <x:c r="H127" s="1" t="s">
        <x:v>165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169</x:v>
      </x:c>
      <x:c r="G128" s="1" t="s">
        <x:v>20</x:v>
      </x:c>
      <x:c r="H128" s="1" t="s">
        <x:v>170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171</x:v>
      </x:c>
      <x:c r="B129" s="2" t="s">
        <x:v>18</x:v>
      </x:c>
      <x:c r="C129" s="2">
        <x:f>HYPERLINK("https://team-v23u.testit.software/projects/142/tests/487", " каталог - категории")</x:f>
      </x:c>
      <x:c r="D129" s="1" t="s">
        <x:v>19</x:v>
      </x:c>
      <x:c r="E129" s="1" t="s">
        <x:v>20</x:v>
      </x:c>
      <x:c r="F129" s="1" t="s">
        <x:v>20</x:v>
      </x:c>
      <x:c r="G129" s="1" t="s">
        <x:v>20</x:v>
      </x:c>
      <x:c r="H129" s="1" t="s">
        <x:v>20</x:v>
      </x:c>
      <x:c r="I129" s="1" t="s">
        <x:v>20</x:v>
      </x:c>
      <x:c r="J129" s="1" t="s">
        <x:v>20</x:v>
      </x:c>
      <x:c r="K129" s="1" t="s">
        <x:v>20</x:v>
      </x:c>
      <x:c r="L129" s="1" t="s">
        <x:v>21</x:v>
      </x:c>
      <x:c r="M129" s="1" t="s">
        <x:v>22</x:v>
      </x:c>
      <x:c r="N129" s="1" t="s">
        <x:v>172</x:v>
      </x:c>
      <x:c r="O129" s="1" t="s">
        <x:v>24</x:v>
      </x:c>
      <x:c r="P129" s="1" t="s">
        <x:v>34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26</x:v>
      </x:c>
      <x:c r="G130" s="1" t="s">
        <x:v>20</x:v>
      </x:c>
      <x:c r="H130" s="1" t="s">
        <x:v>27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40</x:v>
      </x:c>
      <x:c r="G131" s="1" t="s">
        <x:v>20</x:v>
      </x:c>
      <x:c r="H131" s="1" t="s">
        <x:v>41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1" t="s">
        <x:v>173</x:v>
      </x:c>
      <x:c r="G132" s="1" t="s">
        <x:v>20</x:v>
      </x:c>
      <x:c r="H132" s="1" t="s">
        <x:v>174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175</x:v>
      </x:c>
      <x:c r="G133" s="1" t="s">
        <x:v>20</x:v>
      </x:c>
      <x:c r="H133" s="1" t="s">
        <x:v>176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177</x:v>
      </x:c>
      <x:c r="B134" s="2" t="s">
        <x:v>18</x:v>
      </x:c>
      <x:c r="C134" s="2">
        <x:f>HYPERLINK("https://team-v23u.testit.software/projects/142/tests/488", "каталог - левая колонка")</x:f>
      </x:c>
      <x:c r="D134" s="1" t="s">
        <x:v>19</x:v>
      </x:c>
      <x:c r="E134" s="1" t="s">
        <x:v>20</x:v>
      </x:c>
      <x:c r="F134" s="1" t="s">
        <x:v>20</x:v>
      </x:c>
      <x:c r="G134" s="1" t="s">
        <x:v>20</x:v>
      </x:c>
      <x:c r="H134" s="1" t="s">
        <x:v>20</x:v>
      </x:c>
      <x:c r="I134" s="1" t="s">
        <x:v>20</x:v>
      </x:c>
      <x:c r="J134" s="1" t="s">
        <x:v>20</x:v>
      </x:c>
      <x:c r="K134" s="1" t="s">
        <x:v>20</x:v>
      </x:c>
      <x:c r="L134" s="1" t="s">
        <x:v>21</x:v>
      </x:c>
      <x:c r="M134" s="1" t="s">
        <x:v>22</x:v>
      </x:c>
      <x:c r="N134" s="1" t="s">
        <x:v>178</x:v>
      </x:c>
      <x:c r="O134" s="1" t="s">
        <x:v>24</x:v>
      </x:c>
      <x:c r="P134" s="1" t="s">
        <x:v>34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26</x:v>
      </x:c>
      <x:c r="G135" s="1" t="s">
        <x:v>20</x:v>
      </x:c>
      <x:c r="H135" s="1" t="s">
        <x:v>27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179</x:v>
      </x:c>
      <x:c r="G136" s="1" t="s">
        <x:v>20</x:v>
      </x:c>
      <x:c r="H136" s="1" t="s">
        <x:v>180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181</x:v>
      </x:c>
      <x:c r="G137" s="1" t="s">
        <x:v>20</x:v>
      </x:c>
      <x:c r="H137" s="1" t="s">
        <x:v>182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183</x:v>
      </x:c>
      <x:c r="B138" s="2" t="s">
        <x:v>18</x:v>
      </x:c>
      <x:c r="C138" s="2">
        <x:f>HYPERLINK("https://team-v23u.testit.software/projects/142/tests/489", "авторизация-забыли пароль")</x:f>
      </x:c>
      <x:c r="D138" s="1" t="s">
        <x:v>19</x:v>
      </x:c>
      <x:c r="E138" s="1" t="s">
        <x:v>20</x:v>
      </x:c>
      <x:c r="F138" s="1" t="s">
        <x:v>20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21</x:v>
      </x:c>
      <x:c r="M138" s="1" t="s">
        <x:v>22</x:v>
      </x:c>
      <x:c r="N138" s="1" t="s">
        <x:v>184</x:v>
      </x:c>
      <x:c r="O138" s="1" t="s">
        <x:v>24</x:v>
      </x:c>
      <x:c r="P138" s="1" t="s">
        <x:v>34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26</x:v>
      </x:c>
      <x:c r="G139" s="1" t="s">
        <x:v>20</x:v>
      </x:c>
      <x:c r="H139" s="1" t="s">
        <x:v>27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114</x:v>
      </x:c>
      <x:c r="G140" s="1" t="s">
        <x:v>20</x:v>
      </x:c>
      <x:c r="H140" s="1" t="s">
        <x:v>161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185</x:v>
      </x:c>
      <x:c r="G141" s="1" t="s">
        <x:v>20</x:v>
      </x:c>
      <x:c r="H141" s="1" t="s">
        <x:v>186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187</x:v>
      </x:c>
      <x:c r="G142" s="1" t="s">
        <x:v>20</x:v>
      </x:c>
      <x:c r="H142" s="1" t="s">
        <x:v>165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</x:v>
      </x:c>
      <x:c r="B143" s="2" t="s">
        <x:v>20</x:v>
      </x:c>
      <x:c r="C143" s="2" t="s">
        <x:v>20</x:v>
      </x:c>
      <x:c r="D143" s="1" t="s">
        <x:v>20</x:v>
      </x:c>
      <x:c r="E143" s="1" t="s">
        <x:v>20</x:v>
      </x:c>
      <x:c r="F143" s="1" t="s">
        <x:v>188</x:v>
      </x:c>
      <x:c r="G143" s="1" t="s">
        <x:v>20</x:v>
      </x:c>
      <x:c r="H143" s="1" t="s">
        <x:v>189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</x:row>
    <x:row r="144" spans="1:17">
      <x:c r="A144" s="1" t="s">
        <x:v>190</x:v>
      </x:c>
      <x:c r="B144" s="2" t="s">
        <x:v>18</x:v>
      </x:c>
      <x:c r="C144" s="2">
        <x:f>HYPERLINK("https://team-v23u.testit.software/projects/142/tests/490", "авторизация-забыли пароль-восст пароля-разные пароли")</x:f>
      </x:c>
      <x:c r="D144" s="1" t="s">
        <x:v>19</x:v>
      </x:c>
      <x:c r="E144" s="1" t="s">
        <x:v>20</x:v>
      </x:c>
      <x:c r="F144" s="1" t="s">
        <x:v>20</x:v>
      </x:c>
      <x:c r="G144" s="1" t="s">
        <x:v>20</x:v>
      </x:c>
      <x:c r="H144" s="1" t="s">
        <x:v>20</x:v>
      </x:c>
      <x:c r="I144" s="1" t="s">
        <x:v>20</x:v>
      </x:c>
      <x:c r="J144" s="1" t="s">
        <x:v>20</x:v>
      </x:c>
      <x:c r="K144" s="1" t="s">
        <x:v>20</x:v>
      </x:c>
      <x:c r="L144" s="1" t="s">
        <x:v>21</x:v>
      </x:c>
      <x:c r="M144" s="1" t="s">
        <x:v>22</x:v>
      </x:c>
      <x:c r="N144" s="1" t="s">
        <x:v>191</x:v>
      </x:c>
      <x:c r="O144" s="1" t="s">
        <x:v>24</x:v>
      </x:c>
      <x:c r="P144" s="1" t="s">
        <x:v>34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26</x:v>
      </x:c>
      <x:c r="G145" s="1" t="s">
        <x:v>20</x:v>
      </x:c>
      <x:c r="H145" s="1" t="s">
        <x:v>27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114</x:v>
      </x:c>
      <x:c r="G146" s="1" t="s">
        <x:v>20</x:v>
      </x:c>
      <x:c r="H146" s="1" t="s">
        <x:v>161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185</x:v>
      </x:c>
      <x:c r="G147" s="1" t="s">
        <x:v>20</x:v>
      </x:c>
      <x:c r="H147" s="1" t="s">
        <x:v>186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20</x:v>
      </x:c>
      <x:c r="B148" s="2" t="s">
        <x:v>20</x:v>
      </x:c>
      <x:c r="C148" s="2" t="s">
        <x:v>20</x:v>
      </x:c>
      <x:c r="D148" s="1" t="s">
        <x:v>20</x:v>
      </x:c>
      <x:c r="E148" s="1" t="s">
        <x:v>20</x:v>
      </x:c>
      <x:c r="F148" s="1" t="s">
        <x:v>187</x:v>
      </x:c>
      <x:c r="G148" s="1" t="s">
        <x:v>20</x:v>
      </x:c>
      <x:c r="H148" s="1" t="s">
        <x:v>165</x:v>
      </x:c>
      <x:c r="I148" s="1" t="s">
        <x:v>20</x:v>
      </x:c>
      <x:c r="J148" s="1" t="s">
        <x:v>20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188</x:v>
      </x:c>
      <x:c r="G149" s="1" t="s">
        <x:v>20</x:v>
      </x:c>
      <x:c r="H149" s="1" t="s">
        <x:v>189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192</x:v>
      </x:c>
      <x:c r="G150" s="1" t="s">
        <x:v>20</x:v>
      </x:c>
      <x:c r="H150" s="1" t="s">
        <x:v>193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20</x:v>
      </x:c>
      <x:c r="B151" s="2" t="s">
        <x:v>20</x:v>
      </x:c>
      <x:c r="C151" s="2" t="s">
        <x:v>20</x:v>
      </x:c>
      <x:c r="D151" s="1" t="s">
        <x:v>20</x:v>
      </x:c>
      <x:c r="E151" s="1" t="s">
        <x:v>20</x:v>
      </x:c>
      <x:c r="F151" s="1" t="s">
        <x:v>194</x:v>
      </x:c>
      <x:c r="G151" s="1" t="s">
        <x:v>20</x:v>
      </x:c>
      <x:c r="H151" s="1" t="s">
        <x:v>195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196</x:v>
      </x:c>
      <x:c r="G152" s="1" t="s">
        <x:v>20</x:v>
      </x:c>
      <x:c r="H152" s="1" t="s">
        <x:v>125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197</x:v>
      </x:c>
      <x:c r="B153" s="2" t="s">
        <x:v>18</x:v>
      </x:c>
      <x:c r="C153" s="2">
        <x:f>HYPERLINK("https://team-v23u.testit.software/projects/142/tests/491", " авторизация-забыли пароль-восст пароля")</x:f>
      </x:c>
      <x:c r="D153" s="1" t="s">
        <x:v>19</x:v>
      </x:c>
      <x:c r="E153" s="1" t="s">
        <x:v>20</x:v>
      </x:c>
      <x:c r="F153" s="1" t="s">
        <x:v>20</x:v>
      </x:c>
      <x:c r="G153" s="1" t="s">
        <x:v>20</x:v>
      </x:c>
      <x:c r="H153" s="1" t="s">
        <x:v>20</x:v>
      </x:c>
      <x:c r="I153" s="1" t="s">
        <x:v>20</x:v>
      </x:c>
      <x:c r="J153" s="1" t="s">
        <x:v>20</x:v>
      </x:c>
      <x:c r="K153" s="1" t="s">
        <x:v>20</x:v>
      </x:c>
      <x:c r="L153" s="1" t="s">
        <x:v>21</x:v>
      </x:c>
      <x:c r="M153" s="1" t="s">
        <x:v>22</x:v>
      </x:c>
      <x:c r="N153" s="1" t="s">
        <x:v>198</x:v>
      </x:c>
      <x:c r="O153" s="1" t="s">
        <x:v>24</x:v>
      </x:c>
      <x:c r="P153" s="1" t="s">
        <x:v>34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26</x:v>
      </x:c>
      <x:c r="G154" s="1" t="s">
        <x:v>20</x:v>
      </x:c>
      <x:c r="H154" s="1" t="s">
        <x:v>27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114</x:v>
      </x:c>
      <x:c r="G155" s="1" t="s">
        <x:v>20</x:v>
      </x:c>
      <x:c r="H155" s="1" t="s">
        <x:v>161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20</x:v>
      </x:c>
      <x:c r="F156" s="1" t="s">
        <x:v>185</x:v>
      </x:c>
      <x:c r="G156" s="1" t="s">
        <x:v>20</x:v>
      </x:c>
      <x:c r="H156" s="1" t="s">
        <x:v>186</x:v>
      </x:c>
      <x:c r="I156" s="1" t="s">
        <x:v>20</x:v>
      </x:c>
      <x:c r="J156" s="1" t="s">
        <x:v>20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187</x:v>
      </x:c>
      <x:c r="G157" s="1" t="s">
        <x:v>20</x:v>
      </x:c>
      <x:c r="H157" s="1" t="s">
        <x:v>165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1" t="s">
        <x:v>188</x:v>
      </x:c>
      <x:c r="G158" s="1" t="s">
        <x:v>20</x:v>
      </x:c>
      <x:c r="H158" s="1" t="s">
        <x:v>189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192</x:v>
      </x:c>
      <x:c r="G159" s="1" t="s">
        <x:v>20</x:v>
      </x:c>
      <x:c r="H159" s="1" t="s">
        <x:v>193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194</x:v>
      </x:c>
      <x:c r="G160" s="1" t="s">
        <x:v>20</x:v>
      </x:c>
      <x:c r="H160" s="1" t="s">
        <x:v>195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1" t="s">
        <x:v>199</x:v>
      </x:c>
      <x:c r="G161" s="1" t="s">
        <x:v>20</x:v>
      </x:c>
      <x:c r="H161" s="1" t="s">
        <x:v>200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20</x:v>
      </x:c>
      <x:c r="G162" s="1" t="s">
        <x:v>154</x:v>
      </x:c>
      <x:c r="H162" s="1" t="s">
        <x:v>20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201</x:v>
      </x:c>
      <x:c r="B163" s="2" t="s">
        <x:v>18</x:v>
      </x:c>
      <x:c r="C163" s="2">
        <x:f>HYPERLINK("https://team-v23u.testit.software/projects/142/tests/492", " авторизация-старый пароль")</x:f>
      </x:c>
      <x:c r="D163" s="1" t="s">
        <x:v>19</x:v>
      </x:c>
      <x:c r="E163" s="1" t="s">
        <x:v>20</x:v>
      </x:c>
      <x:c r="F163" s="1" t="s">
        <x:v>20</x:v>
      </x:c>
      <x:c r="G163" s="1" t="s">
        <x:v>20</x:v>
      </x:c>
      <x:c r="H163" s="1" t="s">
        <x:v>20</x:v>
      </x:c>
      <x:c r="I163" s="1" t="s">
        <x:v>20</x:v>
      </x:c>
      <x:c r="J163" s="1" t="s">
        <x:v>20</x:v>
      </x:c>
      <x:c r="K163" s="1" t="s">
        <x:v>20</x:v>
      </x:c>
      <x:c r="L163" s="1" t="s">
        <x:v>21</x:v>
      </x:c>
      <x:c r="M163" s="1" t="s">
        <x:v>22</x:v>
      </x:c>
      <x:c r="N163" s="1" t="s">
        <x:v>202</x:v>
      </x:c>
      <x:c r="O163" s="1" t="s">
        <x:v>24</x:v>
      </x:c>
      <x:c r="P163" s="1" t="s">
        <x:v>34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26</x:v>
      </x:c>
      <x:c r="G164" s="1" t="s">
        <x:v>20</x:v>
      </x:c>
      <x:c r="H164" s="1" t="s">
        <x:v>27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20</x:v>
      </x:c>
      <x:c r="F165" s="1" t="s">
        <x:v>114</x:v>
      </x:c>
      <x:c r="G165" s="1" t="s">
        <x:v>20</x:v>
      </x:c>
      <x:c r="H165" s="1" t="s">
        <x:v>161</x:v>
      </x:c>
      <x:c r="I165" s="1" t="s">
        <x:v>20</x:v>
      </x:c>
      <x:c r="J165" s="1" t="s">
        <x:v>20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203</x:v>
      </x:c>
      <x:c r="G166" s="1" t="s">
        <x:v>20</x:v>
      </x:c>
      <x:c r="H166" s="1" t="s">
        <x:v>165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204</x:v>
      </x:c>
      <x:c r="G167" s="1" t="s">
        <x:v>20</x:v>
      </x:c>
      <x:c r="H167" s="1" t="s">
        <x:v>117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205</x:v>
      </x:c>
      <x:c r="B168" s="2" t="s">
        <x:v>18</x:v>
      </x:c>
      <x:c r="C168" s="2">
        <x:f>HYPERLINK("https://team-v23u.testit.software/projects/142/tests/493", " авторизация-новый пароль")</x:f>
      </x:c>
      <x:c r="D168" s="1" t="s">
        <x:v>19</x:v>
      </x:c>
      <x:c r="E168" s="1" t="s">
        <x:v>20</x:v>
      </x:c>
      <x:c r="F168" s="1" t="s">
        <x:v>20</x:v>
      </x:c>
      <x:c r="G168" s="1" t="s">
        <x:v>20</x:v>
      </x:c>
      <x:c r="H168" s="1" t="s">
        <x:v>20</x:v>
      </x:c>
      <x:c r="I168" s="1" t="s">
        <x:v>20</x:v>
      </x:c>
      <x:c r="J168" s="1" t="s">
        <x:v>20</x:v>
      </x:c>
      <x:c r="K168" s="1" t="s">
        <x:v>20</x:v>
      </x:c>
      <x:c r="L168" s="1" t="s">
        <x:v>21</x:v>
      </x:c>
      <x:c r="M168" s="1" t="s">
        <x:v>22</x:v>
      </x:c>
      <x:c r="N168" s="1" t="s">
        <x:v>206</x:v>
      </x:c>
      <x:c r="O168" s="1" t="s">
        <x:v>24</x:v>
      </x:c>
      <x:c r="P168" s="1" t="s">
        <x:v>34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20</x:v>
      </x:c>
      <x:c r="F169" s="1" t="s">
        <x:v>26</x:v>
      </x:c>
      <x:c r="G169" s="1" t="s">
        <x:v>20</x:v>
      </x:c>
      <x:c r="H169" s="1" t="s">
        <x:v>27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114</x:v>
      </x:c>
      <x:c r="G170" s="1" t="s">
        <x:v>20</x:v>
      </x:c>
      <x:c r="H170" s="1" t="s">
        <x:v>161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203</x:v>
      </x:c>
      <x:c r="G171" s="1" t="s">
        <x:v>20</x:v>
      </x:c>
      <x:c r="H171" s="1" t="s">
        <x:v>165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207</x:v>
      </x:c>
      <x:c r="G172" s="1" t="s">
        <x:v>20</x:v>
      </x:c>
      <x:c r="H172" s="1" t="s">
        <x:v>208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20</x:v>
      </x:c>
      <x:c r="F173" s="1" t="s">
        <x:v>20</x:v>
      </x:c>
      <x:c r="G173" s="1" t="s">
        <x:v>154</x:v>
      </x:c>
      <x:c r="H173" s="1" t="s">
        <x:v>20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209</x:v>
      </x:c>
      <x:c r="B174" s="2" t="s">
        <x:v>18</x:v>
      </x:c>
      <x:c r="C174" s="2">
        <x:f>HYPERLINK("https://team-v23u.testit.software/projects/142/tests/494", "покупка без авторизации -в корзине оформить")</x:f>
      </x:c>
      <x:c r="D174" s="1" t="s">
        <x:v>19</x:v>
      </x:c>
      <x:c r="E174" s="1" t="s">
        <x:v>20</x:v>
      </x:c>
      <x:c r="F174" s="1" t="s">
        <x:v>20</x:v>
      </x:c>
      <x:c r="G174" s="1" t="s">
        <x:v>20</x:v>
      </x:c>
      <x:c r="H174" s="1" t="s">
        <x:v>20</x:v>
      </x:c>
      <x:c r="I174" s="1" t="s">
        <x:v>20</x:v>
      </x:c>
      <x:c r="J174" s="1" t="s">
        <x:v>20</x:v>
      </x:c>
      <x:c r="K174" s="1" t="s">
        <x:v>20</x:v>
      </x:c>
      <x:c r="L174" s="1" t="s">
        <x:v>21</x:v>
      </x:c>
      <x:c r="M174" s="1" t="s">
        <x:v>22</x:v>
      </x:c>
      <x:c r="N174" s="1" t="s">
        <x:v>210</x:v>
      </x:c>
      <x:c r="O174" s="1" t="s">
        <x:v>24</x:v>
      </x:c>
      <x:c r="P174" s="1" t="s">
        <x:v>34</x:v>
      </x:c>
      <x:c r="Q174" s="1" t="s">
        <x:v>39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20</x:v>
      </x:c>
      <x:c r="F175" s="1" t="s">
        <x:v>26</x:v>
      </x:c>
      <x:c r="G175" s="1" t="s">
        <x:v>20</x:v>
      </x:c>
      <x:c r="H175" s="1" t="s">
        <x:v>27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211</x:v>
      </x:c>
      <x:c r="G176" s="1" t="s">
        <x:v>20</x:v>
      </x:c>
      <x:c r="H176" s="1" t="s">
        <x:v>212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213</x:v>
      </x:c>
      <x:c r="G177" s="1" t="s">
        <x:v>20</x:v>
      </x:c>
      <x:c r="H177" s="1" t="s">
        <x:v>214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215</x:v>
      </x:c>
      <x:c r="B178" s="2" t="s">
        <x:v>18</x:v>
      </x:c>
      <x:c r="C178" s="2">
        <x:f>HYPERLINK("https://team-v23u.testit.software/projects/142/tests/495", " покупка без авторизации -в модалке корзины оформить")</x:f>
      </x:c>
      <x:c r="D178" s="1" t="s">
        <x:v>19</x:v>
      </x:c>
      <x:c r="E178" s="1" t="s">
        <x:v>20</x:v>
      </x:c>
      <x:c r="F178" s="1" t="s">
        <x:v>20</x:v>
      </x:c>
      <x:c r="G178" s="1" t="s">
        <x:v>20</x:v>
      </x:c>
      <x:c r="H178" s="1" t="s">
        <x:v>20</x:v>
      </x:c>
      <x:c r="I178" s="1" t="s">
        <x:v>20</x:v>
      </x:c>
      <x:c r="J178" s="1" t="s">
        <x:v>20</x:v>
      </x:c>
      <x:c r="K178" s="1" t="s">
        <x:v>20</x:v>
      </x:c>
      <x:c r="L178" s="1" t="s">
        <x:v>21</x:v>
      </x:c>
      <x:c r="M178" s="1" t="s">
        <x:v>22</x:v>
      </x:c>
      <x:c r="N178" s="1" t="s">
        <x:v>216</x:v>
      </x:c>
      <x:c r="O178" s="1" t="s">
        <x:v>24</x:v>
      </x:c>
      <x:c r="P178" s="1" t="s">
        <x:v>34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20</x:v>
      </x:c>
      <x:c r="F179" s="1" t="s">
        <x:v>26</x:v>
      </x:c>
      <x:c r="G179" s="1" t="s">
        <x:v>20</x:v>
      </x:c>
      <x:c r="H179" s="1" t="s">
        <x:v>27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211</x:v>
      </x:c>
      <x:c r="G180" s="1" t="s">
        <x:v>20</x:v>
      </x:c>
      <x:c r="H180" s="1" t="s">
        <x:v>212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20</x:v>
      </x:c>
      <x:c r="F181" s="1" t="s">
        <x:v>217</x:v>
      </x:c>
      <x:c r="G181" s="1" t="s">
        <x:v>20</x:v>
      </x:c>
      <x:c r="H181" s="1" t="s">
        <x:v>218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219</x:v>
      </x:c>
      <x:c r="G182" s="1" t="s">
        <x:v>20</x:v>
      </x:c>
      <x:c r="H182" s="1" t="s">
        <x:v>220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221</x:v>
      </x:c>
      <x:c r="B183" s="2" t="s">
        <x:v>18</x:v>
      </x:c>
      <x:c r="C183" s="2">
        <x:f>HYPERLINK("https://team-v23u.testit.software/projects/142/tests/496", " покупка без авторизации -клик на корзину")</x:f>
      </x:c>
      <x:c r="D183" s="1" t="s">
        <x:v>19</x:v>
      </x:c>
      <x:c r="E183" s="1" t="s">
        <x:v>20</x:v>
      </x:c>
      <x:c r="F183" s="1" t="s">
        <x:v>20</x:v>
      </x:c>
      <x:c r="G183" s="1" t="s">
        <x:v>20</x:v>
      </x:c>
      <x:c r="H183" s="1" t="s">
        <x:v>20</x:v>
      </x:c>
      <x:c r="I183" s="1" t="s">
        <x:v>20</x:v>
      </x:c>
      <x:c r="J183" s="1" t="s">
        <x:v>20</x:v>
      </x:c>
      <x:c r="K183" s="1" t="s">
        <x:v>20</x:v>
      </x:c>
      <x:c r="L183" s="1" t="s">
        <x:v>21</x:v>
      </x:c>
      <x:c r="M183" s="1" t="s">
        <x:v>22</x:v>
      </x:c>
      <x:c r="N183" s="1" t="s">
        <x:v>222</x:v>
      </x:c>
      <x:c r="O183" s="1" t="s">
        <x:v>24</x:v>
      </x:c>
      <x:c r="P183" s="1" t="s">
        <x:v>34</x:v>
      </x:c>
      <x:c r="Q183" s="1" t="s">
        <x:v>39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26</x:v>
      </x:c>
      <x:c r="G184" s="1" t="s">
        <x:v>20</x:v>
      </x:c>
      <x:c r="H184" s="1" t="s">
        <x:v>27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20</x:v>
      </x:c>
      <x:c r="F185" s="1" t="s">
        <x:v>211</x:v>
      </x:c>
      <x:c r="G185" s="1" t="s">
        <x:v>20</x:v>
      </x:c>
      <x:c r="H185" s="1" t="s">
        <x:v>212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1" t="s">
        <x:v>223</x:v>
      </x:c>
      <x:c r="G186" s="1" t="s">
        <x:v>20</x:v>
      </x:c>
      <x:c r="H186" s="1" t="s">
        <x:v>224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225</x:v>
      </x:c>
      <x:c r="B187" s="2" t="s">
        <x:v>18</x:v>
      </x:c>
      <x:c r="C187" s="2">
        <x:f>HYPERLINK("https://team-v23u.testit.software/projects/142/tests/497", "покупка без авторизации -продолжить покупки")</x:f>
      </x:c>
      <x:c r="D187" s="1" t="s">
        <x:v>19</x:v>
      </x:c>
      <x:c r="E187" s="1" t="s">
        <x:v>20</x:v>
      </x:c>
      <x:c r="F187" s="1" t="s">
        <x:v>20</x:v>
      </x:c>
      <x:c r="G187" s="1" t="s">
        <x:v>20</x:v>
      </x:c>
      <x:c r="H187" s="1" t="s">
        <x:v>20</x:v>
      </x:c>
      <x:c r="I187" s="1" t="s">
        <x:v>20</x:v>
      </x:c>
      <x:c r="J187" s="1" t="s">
        <x:v>20</x:v>
      </x:c>
      <x:c r="K187" s="1" t="s">
        <x:v>20</x:v>
      </x:c>
      <x:c r="L187" s="1" t="s">
        <x:v>21</x:v>
      </x:c>
      <x:c r="M187" s="1" t="s">
        <x:v>22</x:v>
      </x:c>
      <x:c r="N187" s="1" t="s">
        <x:v>226</x:v>
      </x:c>
      <x:c r="O187" s="1" t="s">
        <x:v>24</x:v>
      </x:c>
      <x:c r="P187" s="1" t="s">
        <x:v>34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20</x:v>
      </x:c>
      <x:c r="F188" s="1" t="s">
        <x:v>26</x:v>
      </x:c>
      <x:c r="G188" s="1" t="s">
        <x:v>20</x:v>
      </x:c>
      <x:c r="H188" s="1" t="s">
        <x:v>27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211</x:v>
      </x:c>
      <x:c r="G189" s="1" t="s">
        <x:v>20</x:v>
      </x:c>
      <x:c r="H189" s="1" t="s">
        <x:v>212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227</x:v>
      </x:c>
      <x:c r="G190" s="1" t="s">
        <x:v>20</x:v>
      </x:c>
      <x:c r="H190" s="1" t="s">
        <x:v>228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20</x:v>
      </x:c>
      <x:c r="F191" s="1" t="s">
        <x:v>229</x:v>
      </x:c>
      <x:c r="G191" s="1" t="s">
        <x:v>20</x:v>
      </x:c>
      <x:c r="H191" s="1" t="s">
        <x:v>230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231</x:v>
      </x:c>
      <x:c r="B192" s="2" t="s">
        <x:v>18</x:v>
      </x:c>
      <x:c r="C192" s="2">
        <x:f>HYPERLINK("https://team-v23u.testit.software/projects/142/tests/498", "покупка без авторизации -в модалке корзины оформить-невалидные данные")</x:f>
      </x:c>
      <x:c r="D192" s="1" t="s">
        <x:v>19</x:v>
      </x:c>
      <x:c r="E192" s="1" t="s">
        <x:v>20</x:v>
      </x:c>
      <x:c r="F192" s="1" t="s">
        <x:v>20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20</x:v>
      </x:c>
      <x:c r="L192" s="1" t="s">
        <x:v>21</x:v>
      </x:c>
      <x:c r="M192" s="1" t="s">
        <x:v>22</x:v>
      </x:c>
      <x:c r="N192" s="1" t="s">
        <x:v>232</x:v>
      </x:c>
      <x:c r="O192" s="1" t="s">
        <x:v>24</x:v>
      </x:c>
      <x:c r="P192" s="1" t="s">
        <x:v>34</x:v>
      </x:c>
      <x:c r="Q192" s="1" t="s">
        <x:v>39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20</x:v>
      </x:c>
      <x:c r="F193" s="1" t="s">
        <x:v>26</x:v>
      </x:c>
      <x:c r="G193" s="1" t="s">
        <x:v>20</x:v>
      </x:c>
      <x:c r="H193" s="1" t="s">
        <x:v>27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20</x:v>
      </x:c>
      <x:c r="F194" s="1" t="s">
        <x:v>211</x:v>
      </x:c>
      <x:c r="G194" s="1" t="s">
        <x:v>20</x:v>
      </x:c>
      <x:c r="H194" s="1" t="s">
        <x:v>212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217</x:v>
      </x:c>
      <x:c r="G195" s="1" t="s">
        <x:v>20</x:v>
      </x:c>
      <x:c r="H195" s="1" t="s">
        <x:v>218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219</x:v>
      </x:c>
      <x:c r="G196" s="1" t="s">
        <x:v>20</x:v>
      </x:c>
      <x:c r="H196" s="1" t="s">
        <x:v>220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20</x:v>
      </x:c>
      <x:c r="F197" s="1" t="s">
        <x:v>233</x:v>
      </x:c>
      <x:c r="G197" s="1" t="s">
        <x:v>20</x:v>
      </x:c>
      <x:c r="H197" s="1" t="s">
        <x:v>234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20</x:v>
      </x:c>
      <x:c r="F198" s="1" t="s">
        <x:v>235</x:v>
      </x:c>
      <x:c r="G198" s="1" t="s">
        <x:v>20</x:v>
      </x:c>
      <x:c r="H198" s="1" t="s">
        <x:v>236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237</x:v>
      </x:c>
      <x:c r="B199" s="2" t="s">
        <x:v>18</x:v>
      </x:c>
      <x:c r="C199" s="2">
        <x:f>HYPERLINK("https://team-v23u.testit.software/projects/142/tests/499", "покупка без авторизации -в модалке корзины оформить-невалидные данные")</x:f>
      </x:c>
      <x:c r="D199" s="1" t="s">
        <x:v>19</x:v>
      </x:c>
      <x:c r="E199" s="1" t="s">
        <x:v>20</x:v>
      </x:c>
      <x:c r="F199" s="1" t="s">
        <x:v>20</x:v>
      </x:c>
      <x:c r="G199" s="1" t="s">
        <x:v>20</x:v>
      </x:c>
      <x:c r="H199" s="1" t="s">
        <x:v>20</x:v>
      </x:c>
      <x:c r="I199" s="1" t="s">
        <x:v>20</x:v>
      </x:c>
      <x:c r="J199" s="1" t="s">
        <x:v>20</x:v>
      </x:c>
      <x:c r="K199" s="1" t="s">
        <x:v>20</x:v>
      </x:c>
      <x:c r="L199" s="1" t="s">
        <x:v>21</x:v>
      </x:c>
      <x:c r="M199" s="1" t="s">
        <x:v>22</x:v>
      </x:c>
      <x:c r="N199" s="1" t="s">
        <x:v>238</x:v>
      </x:c>
      <x:c r="O199" s="1" t="s">
        <x:v>24</x:v>
      </x:c>
      <x:c r="P199" s="1" t="s">
        <x:v>34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20</x:v>
      </x:c>
      <x:c r="F200" s="1" t="s">
        <x:v>26</x:v>
      </x:c>
      <x:c r="G200" s="1" t="s">
        <x:v>20</x:v>
      </x:c>
      <x:c r="H200" s="1" t="s">
        <x:v>27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1" t="s">
        <x:v>20</x:v>
      </x:c>
      <x:c r="F201" s="1" t="s">
        <x:v>211</x:v>
      </x:c>
      <x:c r="G201" s="1" t="s">
        <x:v>20</x:v>
      </x:c>
      <x:c r="H201" s="1" t="s">
        <x:v>212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1" t="s">
        <x:v>217</x:v>
      </x:c>
      <x:c r="G202" s="1" t="s">
        <x:v>20</x:v>
      </x:c>
      <x:c r="H202" s="1" t="s">
        <x:v>218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20</x:v>
      </x:c>
      <x:c r="B203" s="2" t="s">
        <x:v>20</x:v>
      </x:c>
      <x:c r="C203" s="2" t="s">
        <x:v>20</x:v>
      </x:c>
      <x:c r="D203" s="1" t="s">
        <x:v>20</x:v>
      </x:c>
      <x:c r="E203" s="1" t="s">
        <x:v>20</x:v>
      </x:c>
      <x:c r="F203" s="1" t="s">
        <x:v>219</x:v>
      </x:c>
      <x:c r="G203" s="1" t="s">
        <x:v>20</x:v>
      </x:c>
      <x:c r="H203" s="1" t="s">
        <x:v>220</x:v>
      </x:c>
      <x:c r="I203" s="1" t="s">
        <x:v>20</x:v>
      </x:c>
      <x:c r="J203" s="1" t="s">
        <x:v>20</x:v>
      </x:c>
      <x:c r="K203" s="1" t="s">
        <x:v>20</x:v>
      </x:c>
      <x:c r="L203" s="1" t="s">
        <x:v>20</x:v>
      </x:c>
      <x:c r="M203" s="1" t="s">
        <x:v>20</x:v>
      </x:c>
      <x:c r="N203" s="1" t="s">
        <x:v>20</x:v>
      </x:c>
      <x:c r="O203" s="1" t="s">
        <x:v>20</x:v>
      </x:c>
      <x:c r="P203" s="1" t="s">
        <x:v>20</x:v>
      </x:c>
      <x:c r="Q203" s="1" t="s">
        <x:v>20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20</x:v>
      </x:c>
      <x:c r="F204" s="1" t="s">
        <x:v>239</x:v>
      </x:c>
      <x:c r="G204" s="1" t="s">
        <x:v>20</x:v>
      </x:c>
      <x:c r="H204" s="1" t="s">
        <x:v>234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20</x:v>
      </x:c>
      <x:c r="B205" s="2" t="s">
        <x:v>20</x:v>
      </x:c>
      <x:c r="C205" s="2" t="s">
        <x:v>20</x:v>
      </x:c>
      <x:c r="D205" s="1" t="s">
        <x:v>20</x:v>
      </x:c>
      <x:c r="E205" s="1" t="s">
        <x:v>20</x:v>
      </x:c>
      <x:c r="F205" s="1" t="s">
        <x:v>188</x:v>
      </x:c>
      <x:c r="G205" s="1" t="s">
        <x:v>20</x:v>
      </x:c>
      <x:c r="H205" s="1" t="s">
        <x:v>240</x:v>
      </x:c>
      <x:c r="I205" s="1" t="s">
        <x:v>20</x:v>
      </x:c>
      <x:c r="J205" s="1" t="s">
        <x:v>20</x:v>
      </x:c>
      <x:c r="K205" s="1" t="s">
        <x:v>20</x:v>
      </x:c>
      <x:c r="L205" s="1" t="s">
        <x:v>20</x:v>
      </x:c>
      <x:c r="M205" s="1" t="s">
        <x:v>20</x:v>
      </x:c>
      <x:c r="N205" s="1" t="s">
        <x:v>20</x:v>
      </x:c>
      <x:c r="O205" s="1" t="s">
        <x:v>20</x:v>
      </x:c>
      <x:c r="P205" s="1" t="s">
        <x:v>20</x:v>
      </x:c>
      <x:c r="Q205" s="1" t="s">
        <x:v>20</x:v>
      </x:c>
    </x:row>
    <x:row r="206" spans="1:17">
      <x:c r="A206" s="1" t="s">
        <x:v>241</x:v>
      </x:c>
      <x:c r="B206" s="2" t="s">
        <x:v>18</x:v>
      </x:c>
      <x:c r="C206" s="2">
        <x:f>HYPERLINK("https://team-v23u.testit.software/projects/142/tests/500", "покупка без авторизации -очищение корзины")</x:f>
      </x:c>
      <x:c r="D206" s="1" t="s">
        <x:v>19</x:v>
      </x:c>
      <x:c r="E206" s="1" t="s">
        <x:v>20</x:v>
      </x:c>
      <x:c r="F206" s="1" t="s">
        <x:v>20</x:v>
      </x:c>
      <x:c r="G206" s="1" t="s">
        <x:v>20</x:v>
      </x:c>
      <x:c r="H206" s="1" t="s">
        <x:v>20</x:v>
      </x:c>
      <x:c r="I206" s="1" t="s">
        <x:v>20</x:v>
      </x:c>
      <x:c r="J206" s="1" t="s">
        <x:v>20</x:v>
      </x:c>
      <x:c r="K206" s="1" t="s">
        <x:v>20</x:v>
      </x:c>
      <x:c r="L206" s="1" t="s">
        <x:v>21</x:v>
      </x:c>
      <x:c r="M206" s="1" t="s">
        <x:v>22</x:v>
      </x:c>
      <x:c r="N206" s="1" t="s">
        <x:v>242</x:v>
      </x:c>
      <x:c r="O206" s="1" t="s">
        <x:v>24</x:v>
      </x:c>
      <x:c r="P206" s="1" t="s">
        <x:v>34</x:v>
      </x:c>
      <x:c r="Q206" s="1" t="s">
        <x:v>39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20</x:v>
      </x:c>
      <x:c r="F207" s="1" t="s">
        <x:v>26</x:v>
      </x:c>
      <x:c r="G207" s="1" t="s">
        <x:v>20</x:v>
      </x:c>
      <x:c r="H207" s="1" t="s">
        <x:v>27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  <x:row r="208" spans="1:17">
      <x:c r="A208" s="1" t="s">
        <x:v>20</x:v>
      </x:c>
      <x:c r="B208" s="2" t="s">
        <x:v>20</x:v>
      </x:c>
      <x:c r="C208" s="2" t="s">
        <x:v>20</x:v>
      </x:c>
      <x:c r="D208" s="1" t="s">
        <x:v>20</x:v>
      </x:c>
      <x:c r="E208" s="1" t="s">
        <x:v>20</x:v>
      </x:c>
      <x:c r="F208" s="1" t="s">
        <x:v>243</x:v>
      </x:c>
      <x:c r="G208" s="1" t="s">
        <x:v>20</x:v>
      </x:c>
      <x:c r="H208" s="1" t="s">
        <x:v>212</x:v>
      </x:c>
      <x:c r="I208" s="1" t="s">
        <x:v>20</x:v>
      </x:c>
      <x:c r="J208" s="1" t="s">
        <x:v>20</x:v>
      </x:c>
      <x:c r="K208" s="1" t="s">
        <x:v>20</x:v>
      </x:c>
      <x:c r="L208" s="1" t="s">
        <x:v>20</x:v>
      </x:c>
      <x:c r="M208" s="1" t="s">
        <x:v>20</x:v>
      </x:c>
      <x:c r="N208" s="1" t="s">
        <x:v>20</x:v>
      </x:c>
      <x:c r="O208" s="1" t="s">
        <x:v>20</x:v>
      </x:c>
      <x:c r="P208" s="1" t="s">
        <x:v>20</x:v>
      </x:c>
      <x:c r="Q208" s="1" t="s">
        <x:v>20</x:v>
      </x:c>
    </x:row>
    <x:row r="209" spans="1:17">
      <x:c r="A209" s="1" t="s">
        <x:v>20</x:v>
      </x:c>
      <x:c r="B209" s="2" t="s">
        <x:v>20</x:v>
      </x:c>
      <x:c r="C209" s="2" t="s">
        <x:v>20</x:v>
      </x:c>
      <x:c r="D209" s="1" t="s">
        <x:v>20</x:v>
      </x:c>
      <x:c r="E209" s="1" t="s">
        <x:v>20</x:v>
      </x:c>
      <x:c r="F209" s="1" t="s">
        <x:v>244</x:v>
      </x:c>
      <x:c r="G209" s="1" t="s">
        <x:v>20</x:v>
      </x:c>
      <x:c r="H209" s="1" t="s">
        <x:v>245</x:v>
      </x:c>
      <x:c r="I209" s="1" t="s">
        <x:v>20</x:v>
      </x:c>
      <x:c r="J209" s="1" t="s">
        <x:v>20</x:v>
      </x:c>
      <x:c r="K209" s="1" t="s">
        <x:v>20</x:v>
      </x:c>
      <x:c r="L209" s="1" t="s">
        <x:v>20</x:v>
      </x:c>
      <x:c r="M209" s="1" t="s">
        <x:v>20</x:v>
      </x:c>
      <x:c r="N209" s="1" t="s">
        <x:v>20</x:v>
      </x:c>
      <x:c r="O209" s="1" t="s">
        <x:v>20</x:v>
      </x:c>
      <x:c r="P209" s="1" t="s">
        <x:v>20</x:v>
      </x:c>
      <x:c r="Q209" s="1" t="s">
        <x:v>20</x:v>
      </x:c>
    </x:row>
    <x:row r="210" spans="1:17">
      <x:c r="A210" s="1" t="s">
        <x:v>20</x:v>
      </x:c>
      <x:c r="B210" s="2" t="s">
        <x:v>20</x:v>
      </x:c>
      <x:c r="C210" s="2" t="s">
        <x:v>20</x:v>
      </x:c>
      <x:c r="D210" s="1" t="s">
        <x:v>20</x:v>
      </x:c>
      <x:c r="E210" s="1" t="s">
        <x:v>20</x:v>
      </x:c>
      <x:c r="F210" s="1" t="s">
        <x:v>246</x:v>
      </x:c>
      <x:c r="G210" s="1" t="s">
        <x:v>20</x:v>
      </x:c>
      <x:c r="H210" s="1" t="s">
        <x:v>247</x:v>
      </x:c>
      <x:c r="I210" s="1" t="s">
        <x:v>20</x:v>
      </x:c>
      <x:c r="J210" s="1" t="s">
        <x:v>20</x:v>
      </x:c>
      <x:c r="K210" s="1" t="s">
        <x:v>20</x:v>
      </x:c>
      <x:c r="L210" s="1" t="s">
        <x:v>20</x:v>
      </x:c>
      <x:c r="M210" s="1" t="s">
        <x:v>20</x:v>
      </x:c>
      <x:c r="N210" s="1" t="s">
        <x:v>20</x:v>
      </x:c>
      <x:c r="O210" s="1" t="s">
        <x:v>20</x:v>
      </x:c>
      <x:c r="P210" s="1" t="s">
        <x:v>20</x:v>
      </x:c>
      <x:c r="Q210" s="1" t="s">
        <x:v>20</x:v>
      </x:c>
    </x:row>
    <x:row r="211" spans="1:17">
      <x:c r="A211" s="1" t="s">
        <x:v>248</x:v>
      </x:c>
      <x:c r="B211" s="2" t="s">
        <x:v>18</x:v>
      </x:c>
      <x:c r="C211" s="2">
        <x:f>HYPERLINK("https://team-v23u.testit.software/projects/142/tests/501", " покупка c авторизацией")</x:f>
      </x:c>
      <x:c r="D211" s="1" t="s">
        <x:v>19</x:v>
      </x:c>
      <x:c r="E211" s="1" t="s">
        <x:v>20</x:v>
      </x:c>
      <x:c r="F211" s="1" t="s">
        <x:v>20</x:v>
      </x:c>
      <x:c r="G211" s="1" t="s">
        <x:v>20</x:v>
      </x:c>
      <x:c r="H211" s="1" t="s">
        <x:v>20</x:v>
      </x:c>
      <x:c r="I211" s="1" t="s">
        <x:v>20</x:v>
      </x:c>
      <x:c r="J211" s="1" t="s">
        <x:v>20</x:v>
      </x:c>
      <x:c r="K211" s="1" t="s">
        <x:v>20</x:v>
      </x:c>
      <x:c r="L211" s="1" t="s">
        <x:v>21</x:v>
      </x:c>
      <x:c r="M211" s="1" t="s">
        <x:v>22</x:v>
      </x:c>
      <x:c r="N211" s="1" t="s">
        <x:v>249</x:v>
      </x:c>
      <x:c r="O211" s="1" t="s">
        <x:v>24</x:v>
      </x:c>
      <x:c r="P211" s="1" t="s">
        <x:v>34</x:v>
      </x:c>
      <x:c r="Q211" s="1" t="s">
        <x:v>20</x:v>
      </x:c>
    </x:row>
    <x:row r="212" spans="1:17">
      <x:c r="A212" s="1" t="s">
        <x:v>20</x:v>
      </x:c>
      <x:c r="B212" s="2" t="s">
        <x:v>20</x:v>
      </x:c>
      <x:c r="C212" s="2" t="s">
        <x:v>20</x:v>
      </x:c>
      <x:c r="D212" s="1" t="s">
        <x:v>20</x:v>
      </x:c>
      <x:c r="E212" s="1" t="s">
        <x:v>20</x:v>
      </x:c>
      <x:c r="F212" s="1" t="s">
        <x:v>26</x:v>
      </x:c>
      <x:c r="G212" s="1" t="s">
        <x:v>20</x:v>
      </x:c>
      <x:c r="H212" s="1" t="s">
        <x:v>27</x:v>
      </x:c>
      <x:c r="I212" s="1" t="s">
        <x:v>20</x:v>
      </x:c>
      <x:c r="J212" s="1" t="s">
        <x:v>20</x:v>
      </x:c>
      <x:c r="K212" s="1" t="s">
        <x:v>20</x:v>
      </x:c>
      <x:c r="L212" s="1" t="s">
        <x:v>20</x:v>
      </x:c>
      <x:c r="M212" s="1" t="s">
        <x:v>20</x:v>
      </x:c>
      <x:c r="N212" s="1" t="s">
        <x:v>20</x:v>
      </x:c>
      <x:c r="O212" s="1" t="s">
        <x:v>20</x:v>
      </x:c>
      <x:c r="P212" s="1" t="s">
        <x:v>20</x:v>
      </x:c>
      <x:c r="Q212" s="1" t="s">
        <x:v>20</x:v>
      </x:c>
    </x:row>
    <x:row r="213" spans="1:17">
      <x:c r="A213" s="1" t="s">
        <x:v>20</x:v>
      </x:c>
      <x:c r="B213" s="2" t="s">
        <x:v>20</x:v>
      </x:c>
      <x:c r="C213" s="2" t="s">
        <x:v>20</x:v>
      </x:c>
      <x:c r="D213" s="1" t="s">
        <x:v>20</x:v>
      </x:c>
      <x:c r="E213" s="1" t="s">
        <x:v>20</x:v>
      </x:c>
      <x:c r="F213" s="1" t="s">
        <x:v>250</x:v>
      </x:c>
      <x:c r="G213" s="1" t="s">
        <x:v>20</x:v>
      </x:c>
      <x:c r="H213" s="1" t="s">
        <x:v>251</x:v>
      </x:c>
      <x:c r="I213" s="1" t="s">
        <x:v>20</x:v>
      </x:c>
      <x:c r="J213" s="1" t="s">
        <x:v>20</x:v>
      </x:c>
      <x:c r="K213" s="1" t="s">
        <x:v>20</x:v>
      </x:c>
      <x:c r="L213" s="1" t="s">
        <x:v>20</x:v>
      </x:c>
      <x:c r="M213" s="1" t="s">
        <x:v>20</x:v>
      </x:c>
      <x:c r="N213" s="1" t="s">
        <x:v>20</x:v>
      </x:c>
      <x:c r="O213" s="1" t="s">
        <x:v>20</x:v>
      </x:c>
      <x:c r="P213" s="1" t="s">
        <x:v>20</x:v>
      </x:c>
      <x:c r="Q213" s="1" t="s">
        <x:v>20</x:v>
      </x:c>
    </x:row>
    <x:row r="214" spans="1:17">
      <x:c r="A214" s="1" t="s">
        <x:v>20</x:v>
      </x:c>
      <x:c r="B214" s="2" t="s">
        <x:v>20</x:v>
      </x:c>
      <x:c r="C214" s="2" t="s">
        <x:v>20</x:v>
      </x:c>
      <x:c r="D214" s="1" t="s">
        <x:v>20</x:v>
      </x:c>
      <x:c r="E214" s="1" t="s">
        <x:v>20</x:v>
      </x:c>
      <x:c r="F214" s="1" t="s">
        <x:v>252</x:v>
      </x:c>
      <x:c r="G214" s="1" t="s">
        <x:v>20</x:v>
      </x:c>
      <x:c r="H214" s="1" t="s">
        <x:v>253</x:v>
      </x:c>
      <x:c r="I214" s="1" t="s">
        <x:v>20</x:v>
      </x:c>
      <x:c r="J214" s="1" t="s">
        <x:v>20</x:v>
      </x:c>
      <x:c r="K214" s="1" t="s">
        <x:v>20</x:v>
      </x:c>
      <x:c r="L214" s="1" t="s">
        <x:v>20</x:v>
      </x:c>
      <x:c r="M214" s="1" t="s">
        <x:v>20</x:v>
      </x:c>
      <x:c r="N214" s="1" t="s">
        <x:v>20</x:v>
      </x:c>
      <x:c r="O214" s="1" t="s">
        <x:v>20</x:v>
      </x:c>
      <x:c r="P214" s="1" t="s">
        <x:v>20</x:v>
      </x:c>
      <x:c r="Q214" s="1" t="s">
        <x:v>20</x:v>
      </x:c>
    </x:row>
    <x:row r="215" spans="1:17">
      <x:c r="A215" s="1" t="s">
        <x:v>20</x:v>
      </x:c>
      <x:c r="B215" s="2" t="s">
        <x:v>20</x:v>
      </x:c>
      <x:c r="C215" s="2" t="s">
        <x:v>20</x:v>
      </x:c>
      <x:c r="D215" s="1" t="s">
        <x:v>20</x:v>
      </x:c>
      <x:c r="E215" s="1" t="s">
        <x:v>20</x:v>
      </x:c>
      <x:c r="F215" s="1" t="s">
        <x:v>254</x:v>
      </x:c>
      <x:c r="G215" s="1" t="s">
        <x:v>20</x:v>
      </x:c>
      <x:c r="H215" s="1" t="s">
        <x:v>255</x:v>
      </x:c>
      <x:c r="I215" s="1" t="s">
        <x:v>20</x:v>
      </x:c>
      <x:c r="J215" s="1" t="s">
        <x:v>20</x:v>
      </x:c>
      <x:c r="K215" s="1" t="s">
        <x:v>20</x:v>
      </x:c>
      <x:c r="L215" s="1" t="s">
        <x:v>20</x:v>
      </x:c>
      <x:c r="M215" s="1" t="s">
        <x:v>20</x:v>
      </x:c>
      <x:c r="N215" s="1" t="s">
        <x:v>20</x:v>
      </x:c>
      <x:c r="O215" s="1" t="s">
        <x:v>20</x:v>
      </x:c>
      <x:c r="P215" s="1" t="s">
        <x:v>20</x:v>
      </x:c>
      <x:c r="Q215" s="1" t="s">
        <x:v>20</x:v>
      </x:c>
    </x:row>
    <x:row r="216" spans="1:17">
      <x:c r="A216" s="1" t="s">
        <x:v>20</x:v>
      </x:c>
      <x:c r="B216" s="2" t="s">
        <x:v>20</x:v>
      </x:c>
      <x:c r="C216" s="2" t="s">
        <x:v>20</x:v>
      </x:c>
      <x:c r="D216" s="1" t="s">
        <x:v>20</x:v>
      </x:c>
      <x:c r="E216" s="1" t="s">
        <x:v>20</x:v>
      </x:c>
      <x:c r="F216" s="1" t="s">
        <x:v>256</x:v>
      </x:c>
      <x:c r="G216" s="1" t="s">
        <x:v>20</x:v>
      </x:c>
      <x:c r="H216" s="1" t="s">
        <x:v>257</x:v>
      </x:c>
      <x:c r="I216" s="1" t="s">
        <x:v>20</x:v>
      </x:c>
      <x:c r="J216" s="1" t="s">
        <x:v>20</x:v>
      </x:c>
      <x:c r="K216" s="1" t="s">
        <x:v>20</x:v>
      </x:c>
      <x:c r="L216" s="1" t="s">
        <x:v>20</x:v>
      </x:c>
      <x:c r="M216" s="1" t="s">
        <x:v>20</x:v>
      </x:c>
      <x:c r="N216" s="1" t="s">
        <x:v>20</x:v>
      </x:c>
      <x:c r="O216" s="1" t="s">
        <x:v>20</x:v>
      </x:c>
      <x:c r="P216" s="1" t="s">
        <x:v>20</x:v>
      </x:c>
      <x:c r="Q216" s="1" t="s">
        <x:v>20</x:v>
      </x:c>
    </x:row>
    <x:row r="217" spans="1:17">
      <x:c r="A217" s="1" t="s">
        <x:v>258</x:v>
      </x:c>
      <x:c r="B217" s="2" t="s">
        <x:v>18</x:v>
      </x:c>
      <x:c r="C217" s="2">
        <x:f>HYPERLINK("https://team-v23u.testit.software/projects/142/tests/502", "закладки c авторизацией")</x:f>
      </x:c>
      <x:c r="D217" s="1" t="s">
        <x:v>19</x:v>
      </x:c>
      <x:c r="E217" s="1" t="s">
        <x:v>20</x:v>
      </x:c>
      <x:c r="F217" s="1" t="s">
        <x:v>20</x:v>
      </x:c>
      <x:c r="G217" s="1" t="s">
        <x:v>20</x:v>
      </x:c>
      <x:c r="H217" s="1" t="s">
        <x:v>20</x:v>
      </x:c>
      <x:c r="I217" s="1" t="s">
        <x:v>20</x:v>
      </x:c>
      <x:c r="J217" s="1" t="s">
        <x:v>20</x:v>
      </x:c>
      <x:c r="K217" s="1" t="s">
        <x:v>20</x:v>
      </x:c>
      <x:c r="L217" s="1" t="s">
        <x:v>21</x:v>
      </x:c>
      <x:c r="M217" s="1" t="s">
        <x:v>22</x:v>
      </x:c>
      <x:c r="N217" s="1" t="s">
        <x:v>259</x:v>
      </x:c>
      <x:c r="O217" s="1" t="s">
        <x:v>24</x:v>
      </x:c>
      <x:c r="P217" s="1" t="s">
        <x:v>34</x:v>
      </x:c>
      <x:c r="Q217" s="1" t="s">
        <x:v>39</x:v>
      </x:c>
    </x:row>
    <x:row r="218" spans="1:17">
      <x:c r="A218" s="1" t="s">
        <x:v>20</x:v>
      </x:c>
      <x:c r="B218" s="2" t="s">
        <x:v>20</x:v>
      </x:c>
      <x:c r="C218" s="2" t="s">
        <x:v>20</x:v>
      </x:c>
      <x:c r="D218" s="1" t="s">
        <x:v>20</x:v>
      </x:c>
      <x:c r="E218" s="1" t="s">
        <x:v>20</x:v>
      </x:c>
      <x:c r="F218" s="1" t="s">
        <x:v>26</x:v>
      </x:c>
      <x:c r="G218" s="1" t="s">
        <x:v>20</x:v>
      </x:c>
      <x:c r="H218" s="1" t="s">
        <x:v>27</x:v>
      </x:c>
      <x:c r="I218" s="1" t="s">
        <x:v>20</x:v>
      </x:c>
      <x:c r="J218" s="1" t="s">
        <x:v>20</x:v>
      </x:c>
      <x:c r="K218" s="1" t="s">
        <x:v>20</x:v>
      </x:c>
      <x:c r="L218" s="1" t="s">
        <x:v>20</x:v>
      </x:c>
      <x:c r="M218" s="1" t="s">
        <x:v>20</x:v>
      </x:c>
      <x:c r="N218" s="1" t="s">
        <x:v>20</x:v>
      </x:c>
      <x:c r="O218" s="1" t="s">
        <x:v>20</x:v>
      </x:c>
      <x:c r="P218" s="1" t="s">
        <x:v>20</x:v>
      </x:c>
      <x:c r="Q218" s="1" t="s">
        <x:v>20</x:v>
      </x:c>
    </x:row>
    <x:row r="219" spans="1:17">
      <x:c r="A219" s="1" t="s">
        <x:v>20</x:v>
      </x:c>
      <x:c r="B219" s="2" t="s">
        <x:v>20</x:v>
      </x:c>
      <x:c r="C219" s="2" t="s">
        <x:v>20</x:v>
      </x:c>
      <x:c r="D219" s="1" t="s">
        <x:v>20</x:v>
      </x:c>
      <x:c r="E219" s="1" t="s">
        <x:v>20</x:v>
      </x:c>
      <x:c r="F219" s="1" t="s">
        <x:v>250</x:v>
      </x:c>
      <x:c r="G219" s="1" t="s">
        <x:v>20</x:v>
      </x:c>
      <x:c r="H219" s="1" t="s">
        <x:v>251</x:v>
      </x:c>
      <x:c r="I219" s="1" t="s">
        <x:v>20</x:v>
      </x:c>
      <x:c r="J219" s="1" t="s">
        <x:v>20</x:v>
      </x:c>
      <x:c r="K219" s="1" t="s">
        <x:v>20</x:v>
      </x:c>
      <x:c r="L219" s="1" t="s">
        <x:v>20</x:v>
      </x:c>
      <x:c r="M219" s="1" t="s">
        <x:v>20</x:v>
      </x:c>
      <x:c r="N219" s="1" t="s">
        <x:v>20</x:v>
      </x:c>
      <x:c r="O219" s="1" t="s">
        <x:v>20</x:v>
      </x:c>
      <x:c r="P219" s="1" t="s">
        <x:v>20</x:v>
      </x:c>
      <x:c r="Q219" s="1" t="s">
        <x:v>20</x:v>
      </x:c>
    </x:row>
    <x:row r="220" spans="1:17">
      <x:c r="A220" s="1" t="s">
        <x:v>20</x:v>
      </x:c>
      <x:c r="B220" s="2" t="s">
        <x:v>20</x:v>
      </x:c>
      <x:c r="C220" s="2" t="s">
        <x:v>20</x:v>
      </x:c>
      <x:c r="D220" s="1" t="s">
        <x:v>20</x:v>
      </x:c>
      <x:c r="E220" s="1" t="s">
        <x:v>20</x:v>
      </x:c>
      <x:c r="F220" s="1" t="s">
        <x:v>260</x:v>
      </x:c>
      <x:c r="G220" s="1" t="s">
        <x:v>20</x:v>
      </x:c>
      <x:c r="H220" s="1" t="s">
        <x:v>261</x:v>
      </x:c>
      <x:c r="I220" s="1" t="s">
        <x:v>20</x:v>
      </x:c>
      <x:c r="J220" s="1" t="s">
        <x:v>20</x:v>
      </x:c>
      <x:c r="K220" s="1" t="s">
        <x:v>20</x:v>
      </x:c>
      <x:c r="L220" s="1" t="s">
        <x:v>20</x:v>
      </x:c>
      <x:c r="M220" s="1" t="s">
        <x:v>20</x:v>
      </x:c>
      <x:c r="N220" s="1" t="s">
        <x:v>20</x:v>
      </x:c>
      <x:c r="O220" s="1" t="s">
        <x:v>20</x:v>
      </x:c>
      <x:c r="P220" s="1" t="s">
        <x:v>20</x:v>
      </x:c>
      <x:c r="Q220" s="1" t="s">
        <x:v>20</x:v>
      </x:c>
    </x:row>
    <x:row r="221" spans="1:17">
      <x:c r="A221" s="1" t="s">
        <x:v>20</x:v>
      </x:c>
      <x:c r="B221" s="2" t="s">
        <x:v>20</x:v>
      </x:c>
      <x:c r="C221" s="2" t="s">
        <x:v>20</x:v>
      </x:c>
      <x:c r="D221" s="1" t="s">
        <x:v>20</x:v>
      </x:c>
      <x:c r="E221" s="1" t="s">
        <x:v>20</x:v>
      </x:c>
      <x:c r="F221" s="1" t="s">
        <x:v>262</x:v>
      </x:c>
      <x:c r="G221" s="1" t="s">
        <x:v>20</x:v>
      </x:c>
      <x:c r="H221" s="1" t="s">
        <x:v>263</x:v>
      </x:c>
      <x:c r="I221" s="1" t="s">
        <x:v>20</x:v>
      </x:c>
      <x:c r="J221" s="1" t="s">
        <x:v>20</x:v>
      </x:c>
      <x:c r="K221" s="1" t="s">
        <x:v>20</x:v>
      </x:c>
      <x:c r="L221" s="1" t="s">
        <x:v>20</x:v>
      </x:c>
      <x:c r="M221" s="1" t="s">
        <x:v>20</x:v>
      </x:c>
      <x:c r="N221" s="1" t="s">
        <x:v>20</x:v>
      </x:c>
      <x:c r="O221" s="1" t="s">
        <x:v>20</x:v>
      </x:c>
      <x:c r="P221" s="1" t="s">
        <x:v>20</x:v>
      </x:c>
      <x:c r="Q221" s="1" t="s">
        <x:v>20</x:v>
      </x:c>
    </x:row>
    <x:row r="222" spans="1:17">
      <x:c r="A222" s="1" t="s">
        <x:v>20</x:v>
      </x:c>
      <x:c r="B222" s="2" t="s">
        <x:v>20</x:v>
      </x:c>
      <x:c r="C222" s="2" t="s">
        <x:v>20</x:v>
      </x:c>
      <x:c r="D222" s="1" t="s">
        <x:v>20</x:v>
      </x:c>
      <x:c r="E222" s="1" t="s">
        <x:v>20</x:v>
      </x:c>
      <x:c r="F222" s="1" t="s">
        <x:v>264</x:v>
      </x:c>
      <x:c r="G222" s="1" t="s">
        <x:v>20</x:v>
      </x:c>
      <x:c r="H222" s="1" t="s">
        <x:v>265</x:v>
      </x:c>
      <x:c r="I222" s="1" t="s">
        <x:v>20</x:v>
      </x:c>
      <x:c r="J222" s="1" t="s">
        <x:v>20</x:v>
      </x:c>
      <x:c r="K222" s="1" t="s">
        <x:v>20</x:v>
      </x:c>
      <x:c r="L222" s="1" t="s">
        <x:v>20</x:v>
      </x:c>
      <x:c r="M222" s="1" t="s">
        <x:v>20</x:v>
      </x:c>
      <x:c r="N222" s="1" t="s">
        <x:v>20</x:v>
      </x:c>
      <x:c r="O222" s="1" t="s">
        <x:v>20</x:v>
      </x:c>
      <x:c r="P222" s="1" t="s">
        <x:v>20</x:v>
      </x:c>
      <x:c r="Q222" s="1" t="s">
        <x:v>20</x:v>
      </x:c>
    </x:row>
    <x:row r="223" spans="1:17">
      <x:c r="A223" s="1" t="s">
        <x:v>20</x:v>
      </x:c>
      <x:c r="B223" s="2" t="s">
        <x:v>20</x:v>
      </x:c>
      <x:c r="C223" s="2" t="s">
        <x:v>20</x:v>
      </x:c>
      <x:c r="D223" s="1" t="s">
        <x:v>20</x:v>
      </x:c>
      <x:c r="E223" s="1" t="s">
        <x:v>20</x:v>
      </x:c>
      <x:c r="F223" s="1" t="s">
        <x:v>266</x:v>
      </x:c>
      <x:c r="G223" s="1" t="s">
        <x:v>20</x:v>
      </x:c>
      <x:c r="H223" s="1" t="s">
        <x:v>267</x:v>
      </x:c>
      <x:c r="I223" s="1" t="s">
        <x:v>20</x:v>
      </x:c>
      <x:c r="J223" s="1" t="s">
        <x:v>20</x:v>
      </x:c>
      <x:c r="K223" s="1" t="s">
        <x:v>20</x:v>
      </x:c>
      <x:c r="L223" s="1" t="s">
        <x:v>20</x:v>
      </x:c>
      <x:c r="M223" s="1" t="s">
        <x:v>20</x:v>
      </x:c>
      <x:c r="N223" s="1" t="s">
        <x:v>20</x:v>
      </x:c>
      <x:c r="O223" s="1" t="s">
        <x:v>20</x:v>
      </x:c>
      <x:c r="P223" s="1" t="s">
        <x:v>20</x:v>
      </x:c>
      <x:c r="Q223" s="1" t="s">
        <x:v>20</x:v>
      </x:c>
    </x:row>
    <x:row r="224" spans="1:17">
      <x:c r="A224" s="1" t="s">
        <x:v>20</x:v>
      </x:c>
      <x:c r="B224" s="2" t="s">
        <x:v>20</x:v>
      </x:c>
      <x:c r="C224" s="2" t="s">
        <x:v>20</x:v>
      </x:c>
      <x:c r="D224" s="1" t="s">
        <x:v>20</x:v>
      </x:c>
      <x:c r="E224" s="1" t="s">
        <x:v>20</x:v>
      </x:c>
      <x:c r="F224" s="1" t="s">
        <x:v>268</x:v>
      </x:c>
      <x:c r="G224" s="1" t="s">
        <x:v>20</x:v>
      </x:c>
      <x:c r="H224" s="1" t="s">
        <x:v>269</x:v>
      </x:c>
      <x:c r="I224" s="1" t="s">
        <x:v>20</x:v>
      </x:c>
      <x:c r="J224" s="1" t="s">
        <x:v>20</x:v>
      </x:c>
      <x:c r="K224" s="1" t="s">
        <x:v>20</x:v>
      </x:c>
      <x:c r="L224" s="1" t="s">
        <x:v>20</x:v>
      </x:c>
      <x:c r="M224" s="1" t="s">
        <x:v>20</x:v>
      </x:c>
      <x:c r="N224" s="1" t="s">
        <x:v>20</x:v>
      </x:c>
      <x:c r="O224" s="1" t="s">
        <x:v>20</x:v>
      </x:c>
      <x:c r="P224" s="1" t="s">
        <x:v>20</x:v>
      </x:c>
      <x:c r="Q224" s="1" t="s">
        <x:v>20</x:v>
      </x:c>
    </x:row>
    <x:row r="225" spans="1:17">
      <x:c r="A225" s="1" t="s">
        <x:v>270</x:v>
      </x:c>
      <x:c r="B225" s="2" t="s">
        <x:v>18</x:v>
      </x:c>
      <x:c r="C225" s="2">
        <x:f>HYPERLINK("https://team-v23u.testit.software/projects/142/tests/503", "закладки c без авторизации")</x:f>
      </x:c>
      <x:c r="D225" s="1" t="s">
        <x:v>19</x:v>
      </x:c>
      <x:c r="E225" s="1" t="s">
        <x:v>20</x:v>
      </x:c>
      <x:c r="F225" s="1" t="s">
        <x:v>20</x:v>
      </x:c>
      <x:c r="G225" s="1" t="s">
        <x:v>20</x:v>
      </x:c>
      <x:c r="H225" s="1" t="s">
        <x:v>20</x:v>
      </x:c>
      <x:c r="I225" s="1" t="s">
        <x:v>20</x:v>
      </x:c>
      <x:c r="J225" s="1" t="s">
        <x:v>20</x:v>
      </x:c>
      <x:c r="K225" s="1" t="s">
        <x:v>20</x:v>
      </x:c>
      <x:c r="L225" s="1" t="s">
        <x:v>21</x:v>
      </x:c>
      <x:c r="M225" s="1" t="s">
        <x:v>22</x:v>
      </x:c>
      <x:c r="N225" s="1" t="s">
        <x:v>271</x:v>
      </x:c>
      <x:c r="O225" s="1" t="s">
        <x:v>24</x:v>
      </x:c>
      <x:c r="P225" s="1" t="s">
        <x:v>34</x:v>
      </x:c>
      <x:c r="Q225" s="1" t="s">
        <x:v>20</x:v>
      </x:c>
    </x:row>
    <x:row r="226" spans="1:17">
      <x:c r="A226" s="1" t="s">
        <x:v>20</x:v>
      </x:c>
      <x:c r="B226" s="2" t="s">
        <x:v>20</x:v>
      </x:c>
      <x:c r="C226" s="2" t="s">
        <x:v>20</x:v>
      </x:c>
      <x:c r="D226" s="1" t="s">
        <x:v>20</x:v>
      </x:c>
      <x:c r="E226" s="1" t="s">
        <x:v>20</x:v>
      </x:c>
      <x:c r="F226" s="1" t="s">
        <x:v>26</x:v>
      </x:c>
      <x:c r="G226" s="1" t="s">
        <x:v>20</x:v>
      </x:c>
      <x:c r="H226" s="1" t="s">
        <x:v>27</x:v>
      </x:c>
      <x:c r="I226" s="1" t="s">
        <x:v>20</x:v>
      </x:c>
      <x:c r="J226" s="1" t="s">
        <x:v>20</x:v>
      </x:c>
      <x:c r="K226" s="1" t="s">
        <x:v>20</x:v>
      </x:c>
      <x:c r="L226" s="1" t="s">
        <x:v>20</x:v>
      </x:c>
      <x:c r="M226" s="1" t="s">
        <x:v>20</x:v>
      </x:c>
      <x:c r="N226" s="1" t="s">
        <x:v>20</x:v>
      </x:c>
      <x:c r="O226" s="1" t="s">
        <x:v>20</x:v>
      </x:c>
      <x:c r="P226" s="1" t="s">
        <x:v>20</x:v>
      </x:c>
      <x:c r="Q226" s="1" t="s">
        <x:v>20</x:v>
      </x:c>
    </x:row>
    <x:row r="227" spans="1:17">
      <x:c r="A227" s="1" t="s">
        <x:v>20</x:v>
      </x:c>
      <x:c r="B227" s="2" t="s">
        <x:v>20</x:v>
      </x:c>
      <x:c r="C227" s="2" t="s">
        <x:v>20</x:v>
      </x:c>
      <x:c r="D227" s="1" t="s">
        <x:v>20</x:v>
      </x:c>
      <x:c r="E227" s="1" t="s">
        <x:v>20</x:v>
      </x:c>
      <x:c r="F227" s="1" t="s">
        <x:v>272</x:v>
      </x:c>
      <x:c r="G227" s="1" t="s">
        <x:v>20</x:v>
      </x:c>
      <x:c r="H227" s="1" t="s">
        <x:v>273</x:v>
      </x:c>
      <x:c r="I227" s="1" t="s">
        <x:v>20</x:v>
      </x:c>
      <x:c r="J227" s="1" t="s">
        <x:v>20</x:v>
      </x:c>
      <x:c r="K227" s="1" t="s">
        <x:v>20</x:v>
      </x:c>
      <x:c r="L227" s="1" t="s">
        <x:v>20</x:v>
      </x:c>
      <x:c r="M227" s="1" t="s">
        <x:v>20</x:v>
      </x:c>
      <x:c r="N227" s="1" t="s">
        <x:v>20</x:v>
      </x:c>
      <x:c r="O227" s="1" t="s">
        <x:v>20</x:v>
      </x:c>
      <x:c r="P227" s="1" t="s">
        <x:v>20</x:v>
      </x:c>
      <x:c r="Q227" s="1" t="s">
        <x:v>20</x:v>
      </x:c>
    </x:row>
    <x:row r="228" spans="1:17">
      <x:c r="A228" s="1" t="s">
        <x:v>20</x:v>
      </x:c>
      <x:c r="B228" s="2" t="s">
        <x:v>20</x:v>
      </x:c>
      <x:c r="C228" s="2" t="s">
        <x:v>20</x:v>
      </x:c>
      <x:c r="D228" s="1" t="s">
        <x:v>20</x:v>
      </x:c>
      <x:c r="E228" s="1" t="s">
        <x:v>20</x:v>
      </x:c>
      <x:c r="F228" s="1" t="s">
        <x:v>260</x:v>
      </x:c>
      <x:c r="G228" s="1" t="s">
        <x:v>20</x:v>
      </x:c>
      <x:c r="H228" s="1" t="s">
        <x:v>261</x:v>
      </x:c>
      <x:c r="I228" s="1" t="s">
        <x:v>20</x:v>
      </x:c>
      <x:c r="J228" s="1" t="s">
        <x:v>20</x:v>
      </x:c>
      <x:c r="K228" s="1" t="s">
        <x:v>20</x:v>
      </x:c>
      <x:c r="L228" s="1" t="s">
        <x:v>20</x:v>
      </x:c>
      <x:c r="M228" s="1" t="s">
        <x:v>20</x:v>
      </x:c>
      <x:c r="N228" s="1" t="s">
        <x:v>20</x:v>
      </x:c>
      <x:c r="O228" s="1" t="s">
        <x:v>20</x:v>
      </x:c>
      <x:c r="P228" s="1" t="s">
        <x:v>20</x:v>
      </x:c>
      <x:c r="Q228" s="1" t="s">
        <x:v>20</x:v>
      </x:c>
    </x:row>
    <x:row r="229" spans="1:17">
      <x:c r="A229" s="1" t="s">
        <x:v>20</x:v>
      </x:c>
      <x:c r="B229" s="2" t="s">
        <x:v>20</x:v>
      </x:c>
      <x:c r="C229" s="2" t="s">
        <x:v>20</x:v>
      </x:c>
      <x:c r="D229" s="1" t="s">
        <x:v>20</x:v>
      </x:c>
      <x:c r="E229" s="1" t="s">
        <x:v>20</x:v>
      </x:c>
      <x:c r="F229" s="1" t="s">
        <x:v>262</x:v>
      </x:c>
      <x:c r="G229" s="1" t="s">
        <x:v>20</x:v>
      </x:c>
      <x:c r="H229" s="1" t="s">
        <x:v>274</x:v>
      </x:c>
      <x:c r="I229" s="1" t="s">
        <x:v>20</x:v>
      </x:c>
      <x:c r="J229" s="1" t="s">
        <x:v>20</x:v>
      </x:c>
      <x:c r="K229" s="1" t="s">
        <x:v>20</x:v>
      </x:c>
      <x:c r="L229" s="1" t="s">
        <x:v>20</x:v>
      </x:c>
      <x:c r="M229" s="1" t="s">
        <x:v>20</x:v>
      </x:c>
      <x:c r="N229" s="1" t="s">
        <x:v>20</x:v>
      </x:c>
      <x:c r="O229" s="1" t="s">
        <x:v>20</x:v>
      </x:c>
      <x:c r="P229" s="1" t="s">
        <x:v>20</x:v>
      </x:c>
      <x:c r="Q229" s="1" t="s">
        <x:v>20</x:v>
      </x:c>
    </x:row>
    <x:row r="230" spans="1:17">
      <x:c r="A230" s="1" t="s">
        <x:v>275</x:v>
      </x:c>
      <x:c r="B230" s="2" t="s">
        <x:v>18</x:v>
      </x:c>
      <x:c r="C230" s="2">
        <x:f>HYPERLINK("https://team-v23u.testit.software/projects/142/tests/504", "каталог-сортировка")</x:f>
      </x:c>
      <x:c r="D230" s="1" t="s">
        <x:v>19</x:v>
      </x:c>
      <x:c r="E230" s="1" t="s">
        <x:v>20</x:v>
      </x:c>
      <x:c r="F230" s="1" t="s">
        <x:v>20</x:v>
      </x:c>
      <x:c r="G230" s="1" t="s">
        <x:v>20</x:v>
      </x:c>
      <x:c r="H230" s="1" t="s">
        <x:v>20</x:v>
      </x:c>
      <x:c r="I230" s="1" t="s">
        <x:v>20</x:v>
      </x:c>
      <x:c r="J230" s="1" t="s">
        <x:v>20</x:v>
      </x:c>
      <x:c r="K230" s="1" t="s">
        <x:v>20</x:v>
      </x:c>
      <x:c r="L230" s="1" t="s">
        <x:v>21</x:v>
      </x:c>
      <x:c r="M230" s="1" t="s">
        <x:v>22</x:v>
      </x:c>
      <x:c r="N230" s="1" t="s">
        <x:v>276</x:v>
      </x:c>
      <x:c r="O230" s="1" t="s">
        <x:v>24</x:v>
      </x:c>
      <x:c r="P230" s="1" t="s">
        <x:v>277</x:v>
      </x:c>
      <x:c r="Q230" s="1" t="s">
        <x:v>20</x:v>
      </x:c>
    </x:row>
    <x:row r="231" spans="1:17">
      <x:c r="A231" s="1" t="s">
        <x:v>20</x:v>
      </x:c>
      <x:c r="B231" s="2" t="s">
        <x:v>20</x:v>
      </x:c>
      <x:c r="C231" s="2" t="s">
        <x:v>20</x:v>
      </x:c>
      <x:c r="D231" s="1" t="s">
        <x:v>20</x:v>
      </x:c>
      <x:c r="E231" s="1" t="s">
        <x:v>20</x:v>
      </x:c>
      <x:c r="F231" s="1" t="s">
        <x:v>26</x:v>
      </x:c>
      <x:c r="G231" s="1" t="s">
        <x:v>20</x:v>
      </x:c>
      <x:c r="H231" s="1" t="s">
        <x:v>27</x:v>
      </x:c>
      <x:c r="I231" s="1" t="s">
        <x:v>20</x:v>
      </x:c>
      <x:c r="J231" s="1" t="s">
        <x:v>20</x:v>
      </x:c>
      <x:c r="K231" s="1" t="s">
        <x:v>20</x:v>
      </x:c>
      <x:c r="L231" s="1" t="s">
        <x:v>20</x:v>
      </x:c>
      <x:c r="M231" s="1" t="s">
        <x:v>20</x:v>
      </x:c>
      <x:c r="N231" s="1" t="s">
        <x:v>20</x:v>
      </x:c>
      <x:c r="O231" s="1" t="s">
        <x:v>20</x:v>
      </x:c>
      <x:c r="P231" s="1" t="s">
        <x:v>20</x:v>
      </x:c>
      <x:c r="Q231" s="1" t="s">
        <x:v>20</x:v>
      </x:c>
    </x:row>
    <x:row r="232" spans="1:17">
      <x:c r="A232" s="1" t="s">
        <x:v>20</x:v>
      </x:c>
      <x:c r="B232" s="2" t="s">
        <x:v>20</x:v>
      </x:c>
      <x:c r="C232" s="2" t="s">
        <x:v>20</x:v>
      </x:c>
      <x:c r="D232" s="1" t="s">
        <x:v>20</x:v>
      </x:c>
      <x:c r="E232" s="1" t="s">
        <x:v>20</x:v>
      </x:c>
      <x:c r="F232" s="1" t="s">
        <x:v>278</x:v>
      </x:c>
      <x:c r="G232" s="1" t="s">
        <x:v>20</x:v>
      </x:c>
      <x:c r="H232" s="1" t="s">
        <x:v>279</x:v>
      </x:c>
      <x:c r="I232" s="1" t="s">
        <x:v>20</x:v>
      </x:c>
      <x:c r="J232" s="1" t="s">
        <x:v>20</x:v>
      </x:c>
      <x:c r="K232" s="1" t="s">
        <x:v>20</x:v>
      </x:c>
      <x:c r="L232" s="1" t="s">
        <x:v>20</x:v>
      </x:c>
      <x:c r="M232" s="1" t="s">
        <x:v>20</x:v>
      </x:c>
      <x:c r="N232" s="1" t="s">
        <x:v>20</x:v>
      </x:c>
      <x:c r="O232" s="1" t="s">
        <x:v>20</x:v>
      </x:c>
      <x:c r="P232" s="1" t="s">
        <x:v>20</x:v>
      </x:c>
      <x:c r="Q232" s="1" t="s">
        <x:v>20</x:v>
      </x:c>
    </x:row>
    <x:row r="233" spans="1:17">
      <x:c r="A233" s="1" t="s">
        <x:v>20</x:v>
      </x:c>
      <x:c r="B233" s="2" t="s">
        <x:v>20</x:v>
      </x:c>
      <x:c r="C233" s="2" t="s">
        <x:v>20</x:v>
      </x:c>
      <x:c r="D233" s="1" t="s">
        <x:v>20</x:v>
      </x:c>
      <x:c r="E233" s="1" t="s">
        <x:v>20</x:v>
      </x:c>
      <x:c r="F233" s="1" t="s">
        <x:v>280</x:v>
      </x:c>
      <x:c r="G233" s="1" t="s">
        <x:v>20</x:v>
      </x:c>
      <x:c r="H233" s="1" t="s">
        <x:v>281</x:v>
      </x:c>
      <x:c r="I233" s="1" t="s">
        <x:v>20</x:v>
      </x:c>
      <x:c r="J233" s="1" t="s">
        <x:v>20</x:v>
      </x:c>
      <x:c r="K233" s="1" t="s">
        <x:v>20</x:v>
      </x:c>
      <x:c r="L233" s="1" t="s">
        <x:v>20</x:v>
      </x:c>
      <x:c r="M233" s="1" t="s">
        <x:v>20</x:v>
      </x:c>
      <x:c r="N233" s="1" t="s">
        <x:v>20</x:v>
      </x:c>
      <x:c r="O233" s="1" t="s">
        <x:v>20</x:v>
      </x:c>
      <x:c r="P233" s="1" t="s">
        <x:v>20</x:v>
      </x:c>
      <x:c r="Q233" s="1" t="s">
        <x:v>20</x:v>
      </x:c>
    </x:row>
    <x:row r="234" spans="1:17">
      <x:c r="A234" s="1" t="s">
        <x:v>20</x:v>
      </x:c>
      <x:c r="B234" s="2" t="s">
        <x:v>20</x:v>
      </x:c>
      <x:c r="C234" s="2" t="s">
        <x:v>20</x:v>
      </x:c>
      <x:c r="D234" s="1" t="s">
        <x:v>20</x:v>
      </x:c>
      <x:c r="E234" s="1" t="s">
        <x:v>20</x:v>
      </x:c>
      <x:c r="F234" s="1" t="s">
        <x:v>282</x:v>
      </x:c>
      <x:c r="G234" s="1" t="s">
        <x:v>20</x:v>
      </x:c>
      <x:c r="H234" s="1" t="s">
        <x:v>283</x:v>
      </x:c>
      <x:c r="I234" s="1" t="s">
        <x:v>20</x:v>
      </x:c>
      <x:c r="J234" s="1" t="s">
        <x:v>20</x:v>
      </x:c>
      <x:c r="K234" s="1" t="s">
        <x:v>20</x:v>
      </x:c>
      <x:c r="L234" s="1" t="s">
        <x:v>20</x:v>
      </x:c>
      <x:c r="M234" s="1" t="s">
        <x:v>20</x:v>
      </x:c>
      <x:c r="N234" s="1" t="s">
        <x:v>20</x:v>
      </x:c>
      <x:c r="O234" s="1" t="s">
        <x:v>20</x:v>
      </x:c>
      <x:c r="P234" s="1" t="s">
        <x:v>20</x:v>
      </x:c>
      <x:c r="Q234" s="1" t="s">
        <x:v>20</x:v>
      </x:c>
    </x:row>
    <x:row r="235" spans="1:17">
      <x:c r="A235" s="1" t="s">
        <x:v>20</x:v>
      </x:c>
      <x:c r="B235" s="2" t="s">
        <x:v>20</x:v>
      </x:c>
      <x:c r="C235" s="2" t="s">
        <x:v>20</x:v>
      </x:c>
      <x:c r="D235" s="1" t="s">
        <x:v>20</x:v>
      </x:c>
      <x:c r="E235" s="1" t="s">
        <x:v>20</x:v>
      </x:c>
      <x:c r="F235" s="1" t="s">
        <x:v>284</x:v>
      </x:c>
      <x:c r="G235" s="1" t="s">
        <x:v>20</x:v>
      </x:c>
      <x:c r="H235" s="1" t="s">
        <x:v>285</x:v>
      </x:c>
      <x:c r="I235" s="1" t="s">
        <x:v>20</x:v>
      </x:c>
      <x:c r="J235" s="1" t="s">
        <x:v>20</x:v>
      </x:c>
      <x:c r="K235" s="1" t="s">
        <x:v>20</x:v>
      </x:c>
      <x:c r="L235" s="1" t="s">
        <x:v>20</x:v>
      </x:c>
      <x:c r="M235" s="1" t="s">
        <x:v>20</x:v>
      </x:c>
      <x:c r="N235" s="1" t="s">
        <x:v>20</x:v>
      </x:c>
      <x:c r="O235" s="1" t="s">
        <x:v>20</x:v>
      </x:c>
      <x:c r="P235" s="1" t="s">
        <x:v>20</x:v>
      </x:c>
      <x:c r="Q235" s="1" t="s">
        <x:v>20</x:v>
      </x:c>
    </x:row>
    <x:row r="236" spans="1:17">
      <x:c r="A236" s="1" t="s">
        <x:v>20</x:v>
      </x:c>
      <x:c r="B236" s="2" t="s">
        <x:v>20</x:v>
      </x:c>
      <x:c r="C236" s="2" t="s">
        <x:v>20</x:v>
      </x:c>
      <x:c r="D236" s="1" t="s">
        <x:v>20</x:v>
      </x:c>
      <x:c r="E236" s="1" t="s">
        <x:v>20</x:v>
      </x:c>
      <x:c r="F236" s="1" t="s">
        <x:v>286</x:v>
      </x:c>
      <x:c r="G236" s="1" t="s">
        <x:v>20</x:v>
      </x:c>
      <x:c r="H236" s="1" t="s">
        <x:v>287</x:v>
      </x:c>
      <x:c r="I236" s="1" t="s">
        <x:v>20</x:v>
      </x:c>
      <x:c r="J236" s="1" t="s">
        <x:v>20</x:v>
      </x:c>
      <x:c r="K236" s="1" t="s">
        <x:v>20</x:v>
      </x:c>
      <x:c r="L236" s="1" t="s">
        <x:v>20</x:v>
      </x:c>
      <x:c r="M236" s="1" t="s">
        <x:v>20</x:v>
      </x:c>
      <x:c r="N236" s="1" t="s">
        <x:v>20</x:v>
      </x:c>
      <x:c r="O236" s="1" t="s">
        <x:v>20</x:v>
      </x:c>
      <x:c r="P236" s="1" t="s">
        <x:v>20</x:v>
      </x:c>
      <x:c r="Q236" s="1" t="s">
        <x:v>20</x:v>
      </x:c>
    </x:row>
    <x:row r="237" spans="1:17">
      <x:c r="A237" s="1" t="s">
        <x:v>20</x:v>
      </x:c>
      <x:c r="B237" s="2" t="s">
        <x:v>20</x:v>
      </x:c>
      <x:c r="C237" s="2" t="s">
        <x:v>20</x:v>
      </x:c>
      <x:c r="D237" s="1" t="s">
        <x:v>20</x:v>
      </x:c>
      <x:c r="E237" s="1" t="s">
        <x:v>20</x:v>
      </x:c>
      <x:c r="F237" s="1" t="s">
        <x:v>288</x:v>
      </x:c>
      <x:c r="G237" s="1" t="s">
        <x:v>20</x:v>
      </x:c>
      <x:c r="H237" s="1" t="s">
        <x:v>289</x:v>
      </x:c>
      <x:c r="I237" s="1" t="s">
        <x:v>20</x:v>
      </x:c>
      <x:c r="J237" s="1" t="s">
        <x:v>20</x:v>
      </x:c>
      <x:c r="K237" s="1" t="s">
        <x:v>20</x:v>
      </x:c>
      <x:c r="L237" s="1" t="s">
        <x:v>20</x:v>
      </x:c>
      <x:c r="M237" s="1" t="s">
        <x:v>20</x:v>
      </x:c>
      <x:c r="N237" s="1" t="s">
        <x:v>20</x:v>
      </x:c>
      <x:c r="O237" s="1" t="s">
        <x:v>20</x:v>
      </x:c>
      <x:c r="P237" s="1" t="s">
        <x:v>20</x:v>
      </x:c>
      <x:c r="Q237" s="1" t="s">
        <x:v>20</x:v>
      </x:c>
    </x:row>
    <x:row r="238" spans="1:17">
      <x:c r="A238" s="1" t="s">
        <x:v>20</x:v>
      </x:c>
      <x:c r="B238" s="2" t="s">
        <x:v>20</x:v>
      </x:c>
      <x:c r="C238" s="2" t="s">
        <x:v>20</x:v>
      </x:c>
      <x:c r="D238" s="1" t="s">
        <x:v>20</x:v>
      </x:c>
      <x:c r="E238" s="1" t="s">
        <x:v>20</x:v>
      </x:c>
      <x:c r="F238" s="1" t="s">
        <x:v>290</x:v>
      </x:c>
      <x:c r="G238" s="1" t="s">
        <x:v>20</x:v>
      </x:c>
      <x:c r="H238" s="1" t="s">
        <x:v>291</x:v>
      </x:c>
      <x:c r="I238" s="1" t="s">
        <x:v>20</x:v>
      </x:c>
      <x:c r="J238" s="1" t="s">
        <x:v>20</x:v>
      </x:c>
      <x:c r="K238" s="1" t="s">
        <x:v>20</x:v>
      </x:c>
      <x:c r="L238" s="1" t="s">
        <x:v>20</x:v>
      </x:c>
      <x:c r="M238" s="1" t="s">
        <x:v>20</x:v>
      </x:c>
      <x:c r="N238" s="1" t="s">
        <x:v>20</x:v>
      </x:c>
      <x:c r="O238" s="1" t="s">
        <x:v>20</x:v>
      </x:c>
      <x:c r="P238" s="1" t="s">
        <x:v>20</x:v>
      </x:c>
      <x:c r="Q238" s="1" t="s">
        <x:v>20</x:v>
      </x:c>
    </x:row>
    <x:row r="239" spans="1:17">
      <x:c r="A239" s="1" t="s">
        <x:v>20</x:v>
      </x:c>
      <x:c r="B239" s="2" t="s">
        <x:v>20</x:v>
      </x:c>
      <x:c r="C239" s="2" t="s">
        <x:v>20</x:v>
      </x:c>
      <x:c r="D239" s="1" t="s">
        <x:v>20</x:v>
      </x:c>
      <x:c r="E239" s="1" t="s">
        <x:v>20</x:v>
      </x:c>
      <x:c r="F239" s="1" t="s">
        <x:v>292</x:v>
      </x:c>
      <x:c r="G239" s="1" t="s">
        <x:v>20</x:v>
      </x:c>
      <x:c r="H239" s="1" t="s">
        <x:v>293</x:v>
      </x:c>
      <x:c r="I239" s="1" t="s">
        <x:v>20</x:v>
      </x:c>
      <x:c r="J239" s="1" t="s">
        <x:v>20</x:v>
      </x:c>
      <x:c r="K239" s="1" t="s">
        <x:v>20</x:v>
      </x:c>
      <x:c r="L239" s="1" t="s">
        <x:v>20</x:v>
      </x:c>
      <x:c r="M239" s="1" t="s">
        <x:v>20</x:v>
      </x:c>
      <x:c r="N239" s="1" t="s">
        <x:v>20</x:v>
      </x:c>
      <x:c r="O239" s="1" t="s">
        <x:v>20</x:v>
      </x:c>
      <x:c r="P239" s="1" t="s">
        <x:v>20</x:v>
      </x:c>
      <x:c r="Q239" s="1" t="s">
        <x:v>20</x:v>
      </x:c>
    </x:row>
    <x:row r="240" spans="1:17">
      <x:c r="A240" s="1" t="s">
        <x:v>294</x:v>
      </x:c>
      <x:c r="B240" s="2" t="s">
        <x:v>18</x:v>
      </x:c>
      <x:c r="C240" s="2">
        <x:f>HYPERLINK("https://team-v23u.testit.software/projects/142/tests/505", " каталог-сравнение")</x:f>
      </x:c>
      <x:c r="D240" s="1" t="s">
        <x:v>19</x:v>
      </x:c>
      <x:c r="E240" s="1" t="s">
        <x:v>20</x:v>
      </x:c>
      <x:c r="F240" s="1" t="s">
        <x:v>20</x:v>
      </x:c>
      <x:c r="G240" s="1" t="s">
        <x:v>20</x:v>
      </x:c>
      <x:c r="H240" s="1" t="s">
        <x:v>20</x:v>
      </x:c>
      <x:c r="I240" s="1" t="s">
        <x:v>20</x:v>
      </x:c>
      <x:c r="J240" s="1" t="s">
        <x:v>20</x:v>
      </x:c>
      <x:c r="K240" s="1" t="s">
        <x:v>20</x:v>
      </x:c>
      <x:c r="L240" s="1" t="s">
        <x:v>21</x:v>
      </x:c>
      <x:c r="M240" s="1" t="s">
        <x:v>22</x:v>
      </x:c>
      <x:c r="N240" s="1" t="s">
        <x:v>295</x:v>
      </x:c>
      <x:c r="O240" s="1" t="s">
        <x:v>24</x:v>
      </x:c>
      <x:c r="P240" s="1" t="s">
        <x:v>34</x:v>
      </x:c>
      <x:c r="Q240" s="1" t="s">
        <x:v>39</x:v>
      </x:c>
    </x:row>
    <x:row r="241" spans="1:17">
      <x:c r="A241" s="1" t="s">
        <x:v>20</x:v>
      </x:c>
      <x:c r="B241" s="2" t="s">
        <x:v>20</x:v>
      </x:c>
      <x:c r="C241" s="2" t="s">
        <x:v>20</x:v>
      </x:c>
      <x:c r="D241" s="1" t="s">
        <x:v>20</x:v>
      </x:c>
      <x:c r="E241" s="1" t="s">
        <x:v>20</x:v>
      </x:c>
      <x:c r="F241" s="1" t="s">
        <x:v>26</x:v>
      </x:c>
      <x:c r="G241" s="1" t="s">
        <x:v>20</x:v>
      </x:c>
      <x:c r="H241" s="1" t="s">
        <x:v>27</x:v>
      </x:c>
      <x:c r="I241" s="1" t="s">
        <x:v>20</x:v>
      </x:c>
      <x:c r="J241" s="1" t="s">
        <x:v>20</x:v>
      </x:c>
      <x:c r="K241" s="1" t="s">
        <x:v>20</x:v>
      </x:c>
      <x:c r="L241" s="1" t="s">
        <x:v>20</x:v>
      </x:c>
      <x:c r="M241" s="1" t="s">
        <x:v>20</x:v>
      </x:c>
      <x:c r="N241" s="1" t="s">
        <x:v>20</x:v>
      </x:c>
      <x:c r="O241" s="1" t="s">
        <x:v>20</x:v>
      </x:c>
      <x:c r="P241" s="1" t="s">
        <x:v>20</x:v>
      </x:c>
      <x:c r="Q241" s="1" t="s">
        <x:v>20</x:v>
      </x:c>
    </x:row>
    <x:row r="242" spans="1:17">
      <x:c r="A242" s="1" t="s">
        <x:v>20</x:v>
      </x:c>
      <x:c r="B242" s="2" t="s">
        <x:v>20</x:v>
      </x:c>
      <x:c r="C242" s="2" t="s">
        <x:v>20</x:v>
      </x:c>
      <x:c r="D242" s="1" t="s">
        <x:v>20</x:v>
      </x:c>
      <x:c r="E242" s="1" t="s">
        <x:v>20</x:v>
      </x:c>
      <x:c r="F242" s="1" t="s">
        <x:v>278</x:v>
      </x:c>
      <x:c r="G242" s="1" t="s">
        <x:v>20</x:v>
      </x:c>
      <x:c r="H242" s="1" t="s">
        <x:v>279</x:v>
      </x:c>
      <x:c r="I242" s="1" t="s">
        <x:v>20</x:v>
      </x:c>
      <x:c r="J242" s="1" t="s">
        <x:v>20</x:v>
      </x:c>
      <x:c r="K242" s="1" t="s">
        <x:v>20</x:v>
      </x:c>
      <x:c r="L242" s="1" t="s">
        <x:v>20</x:v>
      </x:c>
      <x:c r="M242" s="1" t="s">
        <x:v>20</x:v>
      </x:c>
      <x:c r="N242" s="1" t="s">
        <x:v>20</x:v>
      </x:c>
      <x:c r="O242" s="1" t="s">
        <x:v>20</x:v>
      </x:c>
      <x:c r="P242" s="1" t="s">
        <x:v>20</x:v>
      </x:c>
      <x:c r="Q242" s="1" t="s">
        <x:v>20</x:v>
      </x:c>
    </x:row>
    <x:row r="243" spans="1:17">
      <x:c r="A243" s="1" t="s">
        <x:v>20</x:v>
      </x:c>
      <x:c r="B243" s="2" t="s">
        <x:v>20</x:v>
      </x:c>
      <x:c r="C243" s="2" t="s">
        <x:v>20</x:v>
      </x:c>
      <x:c r="D243" s="1" t="s">
        <x:v>20</x:v>
      </x:c>
      <x:c r="E243" s="1" t="s">
        <x:v>20</x:v>
      </x:c>
      <x:c r="F243" s="1" t="s">
        <x:v>296</x:v>
      </x:c>
      <x:c r="G243" s="1" t="s">
        <x:v>20</x:v>
      </x:c>
      <x:c r="H243" s="1" t="s">
        <x:v>297</x:v>
      </x:c>
      <x:c r="I243" s="1" t="s">
        <x:v>20</x:v>
      </x:c>
      <x:c r="J243" s="1" t="s">
        <x:v>20</x:v>
      </x:c>
      <x:c r="K243" s="1" t="s">
        <x:v>20</x:v>
      </x:c>
      <x:c r="L243" s="1" t="s">
        <x:v>20</x:v>
      </x:c>
      <x:c r="M243" s="1" t="s">
        <x:v>20</x:v>
      </x:c>
      <x:c r="N243" s="1" t="s">
        <x:v>20</x:v>
      </x:c>
      <x:c r="O243" s="1" t="s">
        <x:v>20</x:v>
      </x:c>
      <x:c r="P243" s="1" t="s">
        <x:v>20</x:v>
      </x:c>
      <x:c r="Q243" s="1" t="s">
        <x:v>20</x:v>
      </x:c>
    </x:row>
    <x:row r="244" spans="1:17">
      <x:c r="A244" s="1" t="s">
        <x:v>20</x:v>
      </x:c>
      <x:c r="B244" s="2" t="s">
        <x:v>20</x:v>
      </x:c>
      <x:c r="C244" s="2" t="s">
        <x:v>20</x:v>
      </x:c>
      <x:c r="D244" s="1" t="s">
        <x:v>20</x:v>
      </x:c>
      <x:c r="E244" s="1" t="s">
        <x:v>20</x:v>
      </x:c>
      <x:c r="F244" s="1" t="s">
        <x:v>298</x:v>
      </x:c>
      <x:c r="G244" s="1" t="s">
        <x:v>20</x:v>
      </x:c>
      <x:c r="H244" s="1" t="s">
        <x:v>299</x:v>
      </x:c>
      <x:c r="I244" s="1" t="s">
        <x:v>20</x:v>
      </x:c>
      <x:c r="J244" s="1" t="s">
        <x:v>20</x:v>
      </x:c>
      <x:c r="K244" s="1" t="s">
        <x:v>20</x:v>
      </x:c>
      <x:c r="L244" s="1" t="s">
        <x:v>20</x:v>
      </x:c>
      <x:c r="M244" s="1" t="s">
        <x:v>20</x:v>
      </x:c>
      <x:c r="N244" s="1" t="s">
        <x:v>20</x:v>
      </x:c>
      <x:c r="O244" s="1" t="s">
        <x:v>20</x:v>
      </x:c>
      <x:c r="P244" s="1" t="s">
        <x:v>20</x:v>
      </x:c>
      <x:c r="Q244" s="1" t="s">
        <x:v>20</x:v>
      </x:c>
    </x:row>
    <x:row r="245" spans="1:17">
      <x:c r="A245" s="1" t="s">
        <x:v>20</x:v>
      </x:c>
      <x:c r="B245" s="2" t="s">
        <x:v>20</x:v>
      </x:c>
      <x:c r="C245" s="2" t="s">
        <x:v>20</x:v>
      </x:c>
      <x:c r="D245" s="1" t="s">
        <x:v>20</x:v>
      </x:c>
      <x:c r="E245" s="1" t="s">
        <x:v>20</x:v>
      </x:c>
      <x:c r="F245" s="1" t="s">
        <x:v>300</x:v>
      </x:c>
      <x:c r="G245" s="1" t="s">
        <x:v>20</x:v>
      </x:c>
      <x:c r="H245" s="1" t="s">
        <x:v>301</x:v>
      </x:c>
      <x:c r="I245" s="1" t="s">
        <x:v>20</x:v>
      </x:c>
      <x:c r="J245" s="1" t="s">
        <x:v>20</x:v>
      </x:c>
      <x:c r="K245" s="1" t="s">
        <x:v>20</x:v>
      </x:c>
      <x:c r="L245" s="1" t="s">
        <x:v>20</x:v>
      </x:c>
      <x:c r="M245" s="1" t="s">
        <x:v>20</x:v>
      </x:c>
      <x:c r="N245" s="1" t="s">
        <x:v>20</x:v>
      </x:c>
      <x:c r="O245" s="1" t="s">
        <x:v>20</x:v>
      </x:c>
      <x:c r="P245" s="1" t="s">
        <x:v>20</x:v>
      </x:c>
      <x:c r="Q245" s="1" t="s">
        <x:v>20</x:v>
      </x:c>
    </x:row>
    <x:row r="246" spans="1:17">
      <x:c r="A246" s="1" t="s">
        <x:v>20</x:v>
      </x:c>
      <x:c r="B246" s="2" t="s">
        <x:v>20</x:v>
      </x:c>
      <x:c r="C246" s="2" t="s">
        <x:v>20</x:v>
      </x:c>
      <x:c r="D246" s="1" t="s">
        <x:v>20</x:v>
      </x:c>
      <x:c r="E246" s="1" t="s">
        <x:v>20</x:v>
      </x:c>
      <x:c r="F246" s="1" t="s">
        <x:v>302</x:v>
      </x:c>
      <x:c r="G246" s="1" t="s">
        <x:v>20</x:v>
      </x:c>
      <x:c r="H246" s="1" t="s">
        <x:v>303</x:v>
      </x:c>
      <x:c r="I246" s="1" t="s">
        <x:v>20</x:v>
      </x:c>
      <x:c r="J246" s="1" t="s">
        <x:v>20</x:v>
      </x:c>
      <x:c r="K246" s="1" t="s">
        <x:v>20</x:v>
      </x:c>
      <x:c r="L246" s="1" t="s">
        <x:v>20</x:v>
      </x:c>
      <x:c r="M246" s="1" t="s">
        <x:v>20</x:v>
      </x:c>
      <x:c r="N246" s="1" t="s">
        <x:v>20</x:v>
      </x:c>
      <x:c r="O246" s="1" t="s">
        <x:v>20</x:v>
      </x:c>
      <x:c r="P246" s="1" t="s">
        <x:v>20</x:v>
      </x:c>
      <x:c r="Q246" s="1" t="s">
        <x:v>20</x:v>
      </x:c>
    </x:row>
    <x:row r="247" spans="1:17">
      <x:c r="A247" s="1" t="s">
        <x:v>304</x:v>
      </x:c>
      <x:c r="B247" s="2" t="s">
        <x:v>18</x:v>
      </x:c>
      <x:c r="C247" s="2">
        <x:f>HYPERLINK("https://team-v23u.testit.software/projects/142/tests/506", "каталог-сортировка-количество")</x:f>
      </x:c>
      <x:c r="D247" s="1" t="s">
        <x:v>19</x:v>
      </x:c>
      <x:c r="E247" s="1" t="s">
        <x:v>20</x:v>
      </x:c>
      <x:c r="F247" s="1" t="s">
        <x:v>20</x:v>
      </x:c>
      <x:c r="G247" s="1" t="s">
        <x:v>20</x:v>
      </x:c>
      <x:c r="H247" s="1" t="s">
        <x:v>20</x:v>
      </x:c>
      <x:c r="I247" s="1" t="s">
        <x:v>20</x:v>
      </x:c>
      <x:c r="J247" s="1" t="s">
        <x:v>20</x:v>
      </x:c>
      <x:c r="K247" s="1" t="s">
        <x:v>20</x:v>
      </x:c>
      <x:c r="L247" s="1" t="s">
        <x:v>21</x:v>
      </x:c>
      <x:c r="M247" s="1" t="s">
        <x:v>22</x:v>
      </x:c>
      <x:c r="N247" s="1" t="s">
        <x:v>305</x:v>
      </x:c>
      <x:c r="O247" s="1" t="s">
        <x:v>24</x:v>
      </x:c>
      <x:c r="P247" s="1" t="s">
        <x:v>277</x:v>
      </x:c>
      <x:c r="Q247" s="1" t="s">
        <x:v>20</x:v>
      </x:c>
    </x:row>
    <x:row r="248" spans="1:17">
      <x:c r="A248" s="1" t="s">
        <x:v>20</x:v>
      </x:c>
      <x:c r="B248" s="2" t="s">
        <x:v>20</x:v>
      </x:c>
      <x:c r="C248" s="2" t="s">
        <x:v>20</x:v>
      </x:c>
      <x:c r="D248" s="1" t="s">
        <x:v>20</x:v>
      </x:c>
      <x:c r="E248" s="1" t="s">
        <x:v>20</x:v>
      </x:c>
      <x:c r="F248" s="1" t="s">
        <x:v>26</x:v>
      </x:c>
      <x:c r="G248" s="1" t="s">
        <x:v>20</x:v>
      </x:c>
      <x:c r="H248" s="1" t="s">
        <x:v>27</x:v>
      </x:c>
      <x:c r="I248" s="1" t="s">
        <x:v>20</x:v>
      </x:c>
      <x:c r="J248" s="1" t="s">
        <x:v>20</x:v>
      </x:c>
      <x:c r="K248" s="1" t="s">
        <x:v>20</x:v>
      </x:c>
      <x:c r="L248" s="1" t="s">
        <x:v>20</x:v>
      </x:c>
      <x:c r="M248" s="1" t="s">
        <x:v>20</x:v>
      </x:c>
      <x:c r="N248" s="1" t="s">
        <x:v>20</x:v>
      </x:c>
      <x:c r="O248" s="1" t="s">
        <x:v>20</x:v>
      </x:c>
      <x:c r="P248" s="1" t="s">
        <x:v>20</x:v>
      </x:c>
      <x:c r="Q248" s="1" t="s">
        <x:v>20</x:v>
      </x:c>
    </x:row>
    <x:row r="249" spans="1:17">
      <x:c r="A249" s="1" t="s">
        <x:v>20</x:v>
      </x:c>
      <x:c r="B249" s="2" t="s">
        <x:v>20</x:v>
      </x:c>
      <x:c r="C249" s="2" t="s">
        <x:v>20</x:v>
      </x:c>
      <x:c r="D249" s="1" t="s">
        <x:v>20</x:v>
      </x:c>
      <x:c r="E249" s="1" t="s">
        <x:v>20</x:v>
      </x:c>
      <x:c r="F249" s="1" t="s">
        <x:v>278</x:v>
      </x:c>
      <x:c r="G249" s="1" t="s">
        <x:v>20</x:v>
      </x:c>
      <x:c r="H249" s="1" t="s">
        <x:v>279</x:v>
      </x:c>
      <x:c r="I249" s="1" t="s">
        <x:v>20</x:v>
      </x:c>
      <x:c r="J249" s="1" t="s">
        <x:v>20</x:v>
      </x:c>
      <x:c r="K249" s="1" t="s">
        <x:v>20</x:v>
      </x:c>
      <x:c r="L249" s="1" t="s">
        <x:v>20</x:v>
      </x:c>
      <x:c r="M249" s="1" t="s">
        <x:v>20</x:v>
      </x:c>
      <x:c r="N249" s="1" t="s">
        <x:v>20</x:v>
      </x:c>
      <x:c r="O249" s="1" t="s">
        <x:v>20</x:v>
      </x:c>
      <x:c r="P249" s="1" t="s">
        <x:v>20</x:v>
      </x:c>
      <x:c r="Q249" s="1" t="s">
        <x:v>20</x:v>
      </x:c>
    </x:row>
    <x:row r="250" spans="1:17">
      <x:c r="A250" s="1" t="s">
        <x:v>20</x:v>
      </x:c>
      <x:c r="B250" s="2" t="s">
        <x:v>20</x:v>
      </x:c>
      <x:c r="C250" s="2" t="s">
        <x:v>20</x:v>
      </x:c>
      <x:c r="D250" s="1" t="s">
        <x:v>20</x:v>
      </x:c>
      <x:c r="E250" s="1" t="s">
        <x:v>20</x:v>
      </x:c>
      <x:c r="F250" s="1" t="s">
        <x:v>306</x:v>
      </x:c>
      <x:c r="G250" s="1" t="s">
        <x:v>20</x:v>
      </x:c>
      <x:c r="H250" s="1" t="s">
        <x:v>307</x:v>
      </x:c>
      <x:c r="I250" s="1" t="s">
        <x:v>20</x:v>
      </x:c>
      <x:c r="J250" s="1" t="s">
        <x:v>20</x:v>
      </x:c>
      <x:c r="K250" s="1" t="s">
        <x:v>20</x:v>
      </x:c>
      <x:c r="L250" s="1" t="s">
        <x:v>20</x:v>
      </x:c>
      <x:c r="M250" s="1" t="s">
        <x:v>20</x:v>
      </x:c>
      <x:c r="N250" s="1" t="s">
        <x:v>20</x:v>
      </x:c>
      <x:c r="O250" s="1" t="s">
        <x:v>20</x:v>
      </x:c>
      <x:c r="P250" s="1" t="s">
        <x:v>20</x:v>
      </x:c>
      <x:c r="Q250" s="1" t="s">
        <x:v>20</x:v>
      </x:c>
    </x:row>
    <x:row r="251" spans="1:17">
      <x:c r="A251" s="1" t="s">
        <x:v>308</x:v>
      </x:c>
      <x:c r="B251" s="2" t="s">
        <x:v>18</x:v>
      </x:c>
      <x:c r="C251" s="2">
        <x:f>HYPERLINK("https://team-v23u.testit.software/projects/142/tests/563", "1000000")</x:f>
      </x:c>
      <x:c r="D251" s="1" t="s">
        <x:v>19</x:v>
      </x:c>
      <x:c r="E251" s="1" t="s">
        <x:v>20</x:v>
      </x:c>
      <x:c r="F251" s="1" t="s">
        <x:v>20</x:v>
      </x:c>
      <x:c r="G251" s="1" t="s">
        <x:v>20</x:v>
      </x:c>
      <x:c r="H251" s="1" t="s">
        <x:v>20</x:v>
      </x:c>
      <x:c r="I251" s="1" t="s">
        <x:v>20</x:v>
      </x:c>
      <x:c r="J251" s="1" t="s">
        <x:v>20</x:v>
      </x:c>
      <x:c r="K251" s="1" t="s">
        <x:v>20</x:v>
      </x:c>
      <x:c r="L251" s="1" t="s">
        <x:v>21</x:v>
      </x:c>
      <x:c r="M251" s="1" t="s">
        <x:v>22</x:v>
      </x:c>
      <x:c r="N251" s="1" t="s">
        <x:v>309</x:v>
      </x:c>
      <x:c r="O251" s="1" t="s">
        <x:v>24</x:v>
      </x:c>
      <x:c r="P251" s="1" t="s">
        <x:v>34</x:v>
      </x:c>
      <x:c r="Q251" s="1" t="s">
        <x:v>20</x:v>
      </x:c>
    </x:row>
    <x:row r="252" spans="1:17">
      <x:c r="A252" s="1" t="s">
        <x:v>20</x:v>
      </x:c>
      <x:c r="B252" s="2" t="s">
        <x:v>20</x:v>
      </x:c>
      <x:c r="C252" s="2" t="s">
        <x:v>20</x:v>
      </x:c>
      <x:c r="D252" s="1" t="s">
        <x:v>20</x:v>
      </x:c>
      <x:c r="E252" s="1" t="s">
        <x:v>20</x:v>
      </x:c>
      <x:c r="F252" s="1" t="s">
        <x:v>26</x:v>
      </x:c>
      <x:c r="G252" s="1" t="s">
        <x:v>20</x:v>
      </x:c>
      <x:c r="H252" s="1" t="s">
        <x:v>27</x:v>
      </x:c>
      <x:c r="I252" s="1" t="s">
        <x:v>20</x:v>
      </x:c>
      <x:c r="J252" s="1" t="s">
        <x:v>20</x:v>
      </x:c>
      <x:c r="K252" s="1" t="s">
        <x:v>20</x:v>
      </x:c>
      <x:c r="L252" s="1" t="s">
        <x:v>20</x:v>
      </x:c>
      <x:c r="M252" s="1" t="s">
        <x:v>20</x:v>
      </x:c>
      <x:c r="N252" s="1" t="s">
        <x:v>20</x:v>
      </x:c>
      <x:c r="O252" s="1" t="s">
        <x:v>20</x:v>
      </x:c>
      <x:c r="P252" s="1" t="s">
        <x:v>20</x:v>
      </x:c>
      <x:c r="Q252" s="1" t="s">
        <x:v>20</x:v>
      </x:c>
    </x:row>
    <x:row r="253" spans="1:17">
      <x:c r="A253" s="1" t="s">
        <x:v>20</x:v>
      </x:c>
      <x:c r="B253" s="2" t="s">
        <x:v>20</x:v>
      </x:c>
      <x:c r="C253" s="2" t="s">
        <x:v>20</x:v>
      </x:c>
      <x:c r="D253" s="1" t="s">
        <x:v>20</x:v>
      </x:c>
      <x:c r="E253" s="1" t="s">
        <x:v>20</x:v>
      </x:c>
      <x:c r="F253" s="1" t="s">
        <x:v>310</x:v>
      </x:c>
      <x:c r="G253" s="1" t="s">
        <x:v>20</x:v>
      </x:c>
      <x:c r="H253" s="1" t="s">
        <x:v>311</x:v>
      </x:c>
      <x:c r="I253" s="1" t="s">
        <x:v>20</x:v>
      </x:c>
      <x:c r="J253" s="1" t="s">
        <x:v>20</x:v>
      </x:c>
      <x:c r="K253" s="1" t="s">
        <x:v>20</x:v>
      </x:c>
      <x:c r="L253" s="1" t="s">
        <x:v>20</x:v>
      </x:c>
      <x:c r="M253" s="1" t="s">
        <x:v>20</x:v>
      </x:c>
      <x:c r="N253" s="1" t="s">
        <x:v>20</x:v>
      </x:c>
      <x:c r="O253" s="1" t="s">
        <x:v>20</x:v>
      </x:c>
      <x:c r="P253" s="1" t="s">
        <x:v>20</x:v>
      </x:c>
      <x:c r="Q253" s="1" t="s">
        <x:v>20</x:v>
      </x:c>
    </x:row>
    <x:row r="254" spans="1:17">
      <x:c r="A254" s="1" t="s">
        <x:v>20</x:v>
      </x:c>
      <x:c r="B254" s="2" t="s">
        <x:v>20</x:v>
      </x:c>
      <x:c r="C254" s="2" t="s">
        <x:v>20</x:v>
      </x:c>
      <x:c r="D254" s="1" t="s">
        <x:v>20</x:v>
      </x:c>
      <x:c r="E254" s="1" t="s">
        <x:v>20</x:v>
      </x:c>
      <x:c r="F254" s="1" t="s">
        <x:v>312</x:v>
      </x:c>
      <x:c r="G254" s="1" t="s">
        <x:v>20</x:v>
      </x:c>
      <x:c r="H254" s="1" t="s">
        <x:v>313</x:v>
      </x:c>
      <x:c r="I254" s="1" t="s">
        <x:v>20</x:v>
      </x:c>
      <x:c r="J254" s="1" t="s">
        <x:v>20</x:v>
      </x:c>
      <x:c r="K254" s="1" t="s">
        <x:v>20</x:v>
      </x:c>
      <x:c r="L254" s="1" t="s">
        <x:v>20</x:v>
      </x:c>
      <x:c r="M254" s="1" t="s">
        <x:v>20</x:v>
      </x:c>
      <x:c r="N254" s="1" t="s">
        <x:v>20</x:v>
      </x:c>
      <x:c r="O254" s="1" t="s">
        <x:v>20</x:v>
      </x:c>
      <x:c r="P254" s="1" t="s">
        <x:v>20</x:v>
      </x:c>
      <x:c r="Q254" s="1" t="s">
        <x:v>20</x:v>
      </x:c>
    </x:row>
    <x:row r="255" spans="1:17">
      <x:c r="A255" s="1" t="s">
        <x:v>20</x:v>
      </x:c>
      <x:c r="B255" s="2" t="s">
        <x:v>20</x:v>
      </x:c>
      <x:c r="C255" s="2" t="s">
        <x:v>20</x:v>
      </x:c>
      <x:c r="D255" s="1" t="s">
        <x:v>20</x:v>
      </x:c>
      <x:c r="E255" s="1" t="s">
        <x:v>20</x:v>
      </x:c>
      <x:c r="F255" s="1" t="s">
        <x:v>314</x:v>
      </x:c>
      <x:c r="G255" s="1" t="s">
        <x:v>20</x:v>
      </x:c>
      <x:c r="H255" s="1" t="s">
        <x:v>315</x:v>
      </x:c>
      <x:c r="I255" s="1" t="s">
        <x:v>20</x:v>
      </x:c>
      <x:c r="J255" s="1" t="s">
        <x:v>20</x:v>
      </x:c>
      <x:c r="K255" s="1" t="s">
        <x:v>20</x:v>
      </x:c>
      <x:c r="L255" s="1" t="s">
        <x:v>20</x:v>
      </x:c>
      <x:c r="M255" s="1" t="s">
        <x:v>20</x:v>
      </x:c>
      <x:c r="N255" s="1" t="s">
        <x:v>20</x:v>
      </x:c>
      <x:c r="O255" s="1" t="s">
        <x:v>20</x:v>
      </x:c>
      <x:c r="P255" s="1" t="s">
        <x:v>20</x:v>
      </x:c>
      <x:c r="Q255" s="1" t="s">
        <x:v>20</x:v>
      </x:c>
    </x:row>
    <x:row r="256" spans="1:17">
      <x:c r="A256" s="1" t="s">
        <x:v>20</x:v>
      </x:c>
      <x:c r="B256" s="2" t="s">
        <x:v>20</x:v>
      </x:c>
      <x:c r="C256" s="2" t="s">
        <x:v>20</x:v>
      </x:c>
      <x:c r="D256" s="1" t="s">
        <x:v>20</x:v>
      </x:c>
      <x:c r="E256" s="1" t="s">
        <x:v>20</x:v>
      </x:c>
      <x:c r="F256" s="1" t="s">
        <x:v>316</x:v>
      </x:c>
      <x:c r="G256" s="1" t="s">
        <x:v>20</x:v>
      </x:c>
      <x:c r="H256" s="1" t="s">
        <x:v>317</x:v>
      </x:c>
      <x:c r="I256" s="1" t="s">
        <x:v>20</x:v>
      </x:c>
      <x:c r="J256" s="1" t="s">
        <x:v>20</x:v>
      </x:c>
      <x:c r="K256" s="1" t="s">
        <x:v>20</x:v>
      </x:c>
      <x:c r="L256" s="1" t="s">
        <x:v>20</x:v>
      </x:c>
      <x:c r="M256" s="1" t="s">
        <x:v>20</x:v>
      </x:c>
      <x:c r="N256" s="1" t="s">
        <x:v>20</x:v>
      </x:c>
      <x:c r="O256" s="1" t="s">
        <x:v>20</x:v>
      </x:c>
      <x:c r="P256" s="1" t="s">
        <x:v>20</x:v>
      </x:c>
      <x:c r="Q256" s="1" t="s">
        <x:v>20</x:v>
      </x:c>
    </x:row>
    <x:row r="257" spans="1:17">
      <x:c r="A257" s="1" t="s">
        <x:v>318</x:v>
      </x:c>
      <x:c r="B257" s="2" t="s">
        <x:v>18</x:v>
      </x:c>
      <x:c r="C257" s="2">
        <x:f>HYPERLINK("https://team-v23u.testit.software/projects/142/tests/564", "кликать сердечко")</x:f>
      </x:c>
      <x:c r="D257" s="1" t="s">
        <x:v>19</x:v>
      </x:c>
      <x:c r="E257" s="1" t="s">
        <x:v>20</x:v>
      </x:c>
      <x:c r="F257" s="1" t="s">
        <x:v>20</x:v>
      </x:c>
      <x:c r="G257" s="1" t="s">
        <x:v>20</x:v>
      </x:c>
      <x:c r="H257" s="1" t="s">
        <x:v>20</x:v>
      </x:c>
      <x:c r="I257" s="1" t="s">
        <x:v>20</x:v>
      </x:c>
      <x:c r="J257" s="1" t="s">
        <x:v>20</x:v>
      </x:c>
      <x:c r="K257" s="1" t="s">
        <x:v>20</x:v>
      </x:c>
      <x:c r="L257" s="1" t="s">
        <x:v>21</x:v>
      </x:c>
      <x:c r="M257" s="1" t="s">
        <x:v>22</x:v>
      </x:c>
      <x:c r="N257" s="1" t="s">
        <x:v>319</x:v>
      </x:c>
      <x:c r="O257" s="1" t="s">
        <x:v>24</x:v>
      </x:c>
      <x:c r="P257" s="1" t="s">
        <x:v>34</x:v>
      </x:c>
      <x:c r="Q257" s="1" t="s">
        <x:v>20</x:v>
      </x:c>
    </x:row>
    <x:row r="258" spans="1:17">
      <x:c r="A258" s="1" t="s">
        <x:v>20</x:v>
      </x:c>
      <x:c r="B258" s="2" t="s">
        <x:v>20</x:v>
      </x:c>
      <x:c r="C258" s="2" t="s">
        <x:v>20</x:v>
      </x:c>
      <x:c r="D258" s="1" t="s">
        <x:v>20</x:v>
      </x:c>
      <x:c r="E258" s="1" t="s">
        <x:v>20</x:v>
      </x:c>
      <x:c r="F258" s="1" t="s">
        <x:v>26</x:v>
      </x:c>
      <x:c r="G258" s="1" t="s">
        <x:v>20</x:v>
      </x:c>
      <x:c r="H258" s="1" t="s">
        <x:v>27</x:v>
      </x:c>
      <x:c r="I258" s="1" t="s">
        <x:v>20</x:v>
      </x:c>
      <x:c r="J258" s="1" t="s">
        <x:v>20</x:v>
      </x:c>
      <x:c r="K258" s="1" t="s">
        <x:v>20</x:v>
      </x:c>
      <x:c r="L258" s="1" t="s">
        <x:v>20</x:v>
      </x:c>
      <x:c r="M258" s="1" t="s">
        <x:v>20</x:v>
      </x:c>
      <x:c r="N258" s="1" t="s">
        <x:v>20</x:v>
      </x:c>
      <x:c r="O258" s="1" t="s">
        <x:v>20</x:v>
      </x:c>
      <x:c r="P258" s="1" t="s">
        <x:v>20</x:v>
      </x:c>
      <x:c r="Q258" s="1" t="s">
        <x:v>20</x:v>
      </x:c>
    </x:row>
    <x:row r="259" spans="1:17">
      <x:c r="A259" s="1" t="s">
        <x:v>20</x:v>
      </x:c>
      <x:c r="B259" s="2" t="s">
        <x:v>20</x:v>
      </x:c>
      <x:c r="C259" s="2" t="s">
        <x:v>20</x:v>
      </x:c>
      <x:c r="D259" s="1" t="s">
        <x:v>20</x:v>
      </x:c>
      <x:c r="E259" s="1" t="s">
        <x:v>20</x:v>
      </x:c>
      <x:c r="F259" s="1" t="s">
        <x:v>310</x:v>
      </x:c>
      <x:c r="G259" s="1" t="s">
        <x:v>20</x:v>
      </x:c>
      <x:c r="H259" s="1" t="s">
        <x:v>311</x:v>
      </x:c>
      <x:c r="I259" s="1" t="s">
        <x:v>20</x:v>
      </x:c>
      <x:c r="J259" s="1" t="s">
        <x:v>20</x:v>
      </x:c>
      <x:c r="K259" s="1" t="s">
        <x:v>20</x:v>
      </x:c>
      <x:c r="L259" s="1" t="s">
        <x:v>20</x:v>
      </x:c>
      <x:c r="M259" s="1" t="s">
        <x:v>20</x:v>
      </x:c>
      <x:c r="N259" s="1" t="s">
        <x:v>20</x:v>
      </x:c>
      <x:c r="O259" s="1" t="s">
        <x:v>20</x:v>
      </x:c>
      <x:c r="P259" s="1" t="s">
        <x:v>20</x:v>
      </x:c>
      <x:c r="Q259" s="1" t="s">
        <x:v>20</x:v>
      </x:c>
    </x:row>
    <x:row r="260" spans="1:17">
      <x:c r="A260" s="1" t="s">
        <x:v>20</x:v>
      </x:c>
      <x:c r="B260" s="2" t="s">
        <x:v>20</x:v>
      </x:c>
      <x:c r="C260" s="2" t="s">
        <x:v>20</x:v>
      </x:c>
      <x:c r="D260" s="1" t="s">
        <x:v>20</x:v>
      </x:c>
      <x:c r="E260" s="1" t="s">
        <x:v>20</x:v>
      </x:c>
      <x:c r="F260" s="1" t="s">
        <x:v>320</x:v>
      </x:c>
      <x:c r="G260" s="1" t="s">
        <x:v>20</x:v>
      </x:c>
      <x:c r="H260" s="1" t="s">
        <x:v>321</x:v>
      </x:c>
      <x:c r="I260" s="1" t="s">
        <x:v>20</x:v>
      </x:c>
      <x:c r="J260" s="1" t="s">
        <x:v>20</x:v>
      </x:c>
      <x:c r="K260" s="1" t="s">
        <x:v>20</x:v>
      </x:c>
      <x:c r="L260" s="1" t="s">
        <x:v>20</x:v>
      </x:c>
      <x:c r="M260" s="1" t="s">
        <x:v>20</x:v>
      </x:c>
      <x:c r="N260" s="1" t="s">
        <x:v>20</x:v>
      </x:c>
      <x:c r="O260" s="1" t="s">
        <x:v>20</x:v>
      </x:c>
      <x:c r="P260" s="1" t="s">
        <x:v>20</x:v>
      </x:c>
      <x:c r="Q260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