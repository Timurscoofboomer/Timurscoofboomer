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38d836ad749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fade56066843c8a11afd7c12744b54.psmdcp" Id="R907c83f6fe3f40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8" i="1"/>
  <x:c r="C12" i="1"/>
  <x:c r="C17" i="1"/>
  <x:c r="C21" i="1"/>
  <x:c r="C25" i="1"/>
  <x:c r="C29" i="1"/>
  <x:c r="C33" i="1"/>
  <x:c r="C38" i="1"/>
  <x:c r="C43" i="1"/>
  <x:c r="C47" i="1"/>
  <x:c r="C51" i="1"/>
  <x:c r="C54" i="1"/>
  <x:c r="C58" i="1"/>
  <x:c r="C62" i="1"/>
  <x:c r="C66" i="1"/>
  <x:c r="C71" i="1"/>
  <x:c r="C76" i="1"/>
  <x:c r="C81" i="1"/>
  <x:c r="C86" i="1"/>
  <x:c r="C91" i="1"/>
  <x:c r="C96" i="1"/>
  <x:c r="C102" i="1"/>
  <x:c r="C107" i="1"/>
  <x:c r="C112" i="1"/>
  <x:c r="C117" i="1"/>
  <x:c r="C122" i="1"/>
  <x:c r="C127" i="1"/>
  <x:c r="C132" i="1"/>
  <x:c r="C138" i="1"/>
  <x:c r="C143" i="1"/>
  <x:c r="C148" i="1"/>
  <x:c r="C151" i="1"/>
  <x:c r="C156" i="1"/>
  <x:c r="C161" i="1"/>
  <x:c r="C167" i="1"/>
  <x:c r="C173" i="1"/>
  <x:c r="C179" i="1"/>
  <x:c r="C183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<x:sst xmlns:x="http://schemas.openxmlformats.org/spreadsheetml/2006/main">
  <x:si>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</x:si>
  <x:si>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</x:si>
  <x:si>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</x:si>
  <x:si>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</x:si>
  <x:si>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</x:si>
  <x:si>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</x:si>
  <x:si>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</x:si>
  <x:si>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</x:si>
  <x:si>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</x:si>
  <x:si>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</x:si>
  <x:si>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</x:si>
  <x:si>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</x:si>
  <x:si>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</x:si>
  <x:si>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</x:si>
  <x:si>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</x:si>
  <x:si>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</x:si>
  <x:si>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</x:si>
  <x:si>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312</x:t>
  </x:si>
  <x:si>
    <x:t>стажировка -&gt; centerfish.ru</x:t>
  </x:si>
  <x:si>
    <x:t>Нет</x:t>
  </x:si>
  <x:si>
    <x:t/>
  </x:si>
  <x:si>
    <x:t>Средний</x:t>
  </x:si>
  <x:si>
    <x:t>Готов</x:t>
  </x:si>
  <x:si>
    <x:t>10/1/2025 09:33:54</x:t>
  </x:si>
  <x:si>
    <x:t>тимур гатауллин</x:t>
  </x:si>
  <x:si>
    <x:t>0h 0m 0s</x:t>
  </x:si>
  <x:si>
    <x:t>открыть сайт centerfish.ru</x:t>
  </x:si>
  <x:si>
    <x:t>сайт открыт</x:t>
  </x:si>
  <x:si>
    <x:t>313</x:t>
  </x:si>
  <x:si>
    <x:t>10/1/2025 09:39:51</x:t>
  </x:si>
  <x:si>
    <x:t>0h 1m 0s</x:t>
  </x:si>
  <x:si>
    <x:t>функциональный, юзабилити</x:t>
  </x:si>
  <x:si>
    <x:t>навести курсор на логотип сайта</x:t>
  </x:si>
  <x:si>
    <x:t>курсор мыши меняет форму</x:t>
  </x:si>
  <x:si>
    <x:t>кликнуть логотип сайта</x:t>
  </x:si>
  <x:si>
    <x:t>открывается главная страница сайта</x:t>
  </x:si>
  <x:si>
    <x:t>314</x:t>
  </x:si>
  <x:si>
    <x:t>10/1/2025 09:42:27</x:t>
  </x:si>
  <x:si>
    <x:t>навести курсор на ссылку “Главная”</x:t>
  </x:si>
  <x:si>
    <x:t>курсор мыши меняет форму, у ссылки есть ховер-эффект</x:t>
  </x:si>
  <x:si>
    <x:t>кликнуть на на ссылку “Главная”</x:t>
  </x:si>
  <x:si>
    <x:t>315</x:t>
  </x:si>
  <x:si>
    <x:t>10/1/2025 09:43:26</x:t>
  </x:si>
  <x:si>
    <x:t>навести курсор на ссылку “адреса и контакты”</x:t>
  </x:si>
  <x:si>
    <x:t>кликнуть на на ссылку “адреса и контакты”</x:t>
  </x:si>
  <x:si>
    <x:t>открывается  страница сайта “адреса и контакты”</x:t>
  </x:si>
  <x:si>
    <x:t>убедиться, ссылка “адреса и контакты” однозначна и понятна пользователю и соответствует своему функционалу</x:t>
  </x:si>
  <x:si>
    <x:t>ссылка “адреса и контакты” однозначна и понятна пользователю и соответствует своему функционалу</x:t>
  </x:si>
  <x:si>
    <x:t>316</x:t>
  </x:si>
  <x:si>
    <x:t>10/1/2025 09:44:39</x:t>
  </x:si>
  <x:si>
    <x:t>навести курсор на ссылку “заказ”</x:t>
  </x:si>
  <x:si>
    <x:t>кликнуть на на ссылку “заказ”</x:t>
  </x:si>
  <x:si>
    <x:t>открывается  страница сайта “заказ”</x:t>
  </x:si>
  <x:si>
    <x:t>317</x:t>
  </x:si>
  <x:si>
    <x:t>10/1/2025 09:45:13</x:t>
  </x:si>
  <x:si>
    <x:t>навести курсор на ссылку “оплата”</x:t>
  </x:si>
  <x:si>
    <x:t>кликнуть на на ссылку</x:t>
  </x:si>
  <x:si>
    <x:t>открывается  страница сайта “оплата”</x:t>
  </x:si>
  <x:si>
    <x:t>318</x:t>
  </x:si>
  <x:si>
    <x:t>10/1/2025 09:45:36</x:t>
  </x:si>
  <x:si>
    <x:t>навести курсор на ссылку “получение”</x:t>
  </x:si>
  <x:si>
    <x:t>открывается  страница сайта “получение”</x:t>
  </x:si>
  <x:si>
    <x:t>319</x:t>
  </x:si>
  <x:si>
    <x:t>10/1/2025 09:46:31</x:t>
  </x:si>
  <x:si>
    <x:t>навести курсор на ссылку “гарантия и возврат”</x:t>
  </x:si>
  <x:si>
    <x:t>открывается  страница сайта “гарантия и возврат”</x:t>
  </x:si>
  <x:si>
    <x:t>320</x:t>
  </x:si>
  <x:si>
    <x:t>10/1/2025 09:49:35</x:t>
  </x:si>
  <x:si>
    <x:t>навести курсор на ссылку “прочее”</x:t>
  </x:si>
  <x:si>
    <x:t>курсор мыши меняет форму, у ссылки есть ховер-эффект, открывается подменю</x:t>
  </x:si>
  <x:si>
    <x:t>навести курсор на ссылку “Пользовательское соглашение”</x:t>
  </x:si>
  <x:si>
    <x:t>у ссылки есть ховер-эффект</x:t>
  </x:si>
  <x:si>
    <x:t>кликнуть на на ссылку “Пользовательское соглашение”</x:t>
  </x:si>
  <x:si>
    <x:t>открывается страница сайта “Пользовательское соглашение”</x:t>
  </x:si>
  <x:si>
    <x:t>321</x:t>
  </x:si>
  <x:si>
    <x:t>10/1/2025 09:51:22</x:t>
  </x:si>
  <x:si>
    <x:t>навести курсор на ссылку “Политика обработки персональных данных”</x:t>
  </x:si>
  <x:si>
    <x:t>кликнуть на на ссылку “Политика обработки персональных данных”</x:t>
  </x:si>
  <x:si>
    <x:t>открывается страница сайта “Политика обработки персональных данных”</x:t>
  </x:si>
  <x:si>
    <x:t>322</x:t>
  </x:si>
  <x:si>
    <x:t>10/1/2025 09:59:06</x:t>
  </x:si>
  <x:si>
    <x:t>навести курсор на ссылку с адресами</x:t>
  </x:si>
  <x:si>
    <x:t>открывается  страница сайта с картой мест расположения по указанным адресам</x:t>
  </x:si>
  <x:si>
    <x:t>323</x:t>
  </x:si>
  <x:si>
    <x:t>10/1/2025 10:03:59</x:t>
  </x:si>
  <x:si>
    <x:t>навести курсор на номер телефона</x:t>
  </x:si>
  <x:si>
    <x:t>курсор мыши меняет форму для копирования номера</x:t>
  </x:si>
  <x:si>
    <x:t>ссылка не кликабельна</x:t>
  </x:si>
  <x:si>
    <x:t>324</x:t>
  </x:si>
  <x:si>
    <x:t>Не готов</x:t>
  </x:si>
  <x:si>
    <x:t>10/1/2025 10:08:38</x:t>
  </x:si>
  <x:si>
    <x:t>навести курсор на логотип whatsapp</x:t>
  </x:si>
  <x:si>
    <x:t>курсор мыши меняет форму, логотип whatsapp выглядит нормально</x:t>
  </x:si>
  <x:si>
    <x:t>325</x:t>
  </x:si>
  <x:si>
    <x:t>10/1/2025 10:09:40</x:t>
  </x:si>
  <x:si>
    <x:t>кликнуть логотип whatsapp</x:t>
  </x:si>
  <x:si>
    <x:t>открывается страница для чата в whatsapp</x:t>
  </x:si>
  <x:si>
    <x:t>326</x:t>
  </x:si>
  <x:si>
    <x:t>10/1/2025 10:11:55</x:t>
  </x:si>
  <x:si>
    <x:t>навести курсор на ссылку “заказать звонок”</x:t>
  </x:si>
  <x:si>
    <x:t>кликнуть на ссылку “заказать звонок”</x:t>
  </x:si>
  <x:si>
    <x:t>открывается страница с формой для ввода номера телефона</x:t>
  </x:si>
  <x:si>
    <x:t>327</x:t>
  </x:si>
  <x:si>
    <x:t>10/1/2025 10:14:04</x:t>
  </x:si>
  <x:si>
    <x:t>навести курсор на логотип Вконтакте</x:t>
  </x:si>
  <x:si>
    <x:t>кликнуть на ссылку логотип Вконтакте</x:t>
  </x:si>
  <x:si>
    <x:t>открывается страница со страницей ВК рыболовного магазина</x:t>
  </x:si>
  <x:si>
    <x:t>328</x:t>
  </x:si>
  <x:si>
    <x:t>10/1/2025 10:17:16</x:t>
  </x:si>
  <x:si>
    <x:t>vpn включен</x:t>
  </x:si>
  <x:si>
    <x:t>навести курсор на логотип ютуб</x:t>
  </x:si>
  <x:si>
    <x:t>кликнуть на логотип ютуб</x:t>
  </x:si>
  <x:si>
    <x:t>открывается страница с ютуб-аккаунтом компании сайта</x:t>
  </x:si>
  <x:si>
    <x:t>329</x:t>
  </x:si>
  <x:si>
    <x:t>10/1/2025 10:21:13</x:t>
  </x:si>
  <x:si>
    <x:t>навести курсор на Корзину</x:t>
  </x:si>
  <x:si>
    <x:t>курсор мыши меняет форму, у ссылки есть ховер-эффект, выпадает попап корзины</x:t>
  </x:si>
  <x:si>
    <x:t>кликнуть на Корзину</x:t>
  </x:si>
  <x:si>
    <x:t>открывается страница Корзины</x:t>
  </x:si>
  <x:si>
    <x:t>перейти на главную страницу</x:t>
  </x:si>
  <x:si>
    <x:t>330</x:t>
  </x:si>
  <x:si>
    <x:t>10/1/2025 10:23:54</x:t>
  </x:si>
  <x:si>
    <x:t>навести курсор на ссылку “Сравнение”</x:t>
  </x:si>
  <x:si>
    <x:t>кликнуть на ссылку</x:t>
  </x:si>
  <x:si>
    <x:t>открывается страница для сравнения товаров</x:t>
  </x:si>
  <x:si>
    <x:t>331</x:t>
  </x:si>
  <x:si>
    <x:t>10/1/2025 10:24:30</x:t>
  </x:si>
  <x:si>
    <x:t>навести курсор на ссылку “избранное”</x:t>
  </x:si>
  <x:si>
    <x:t>открывается страница с избранным</x:t>
  </x:si>
  <x:si>
    <x:t>332</x:t>
  </x:si>
  <x:si>
    <x:t>10/1/2025 10:27:40</x:t>
  </x:si>
  <x:si>
    <x:t>навести курсор на ссылку поисковую строку</x:t>
  </x:si>
  <x:si>
    <x:t>курсор мыши меняет форму для ввода текста</x:t>
  </x:si>
  <x:si>
    <x:t>ввести в поиск название товара</x:t>
  </x:si>
  <x:si>
    <x:t>выпадает автозаполнение</x:t>
  </x:si>
  <x:si>
    <x:t>ввести в поиск несуществующее слово</x:t>
  </x:si>
  <x:si>
    <x:t>ничего не найдено</x:t>
  </x:si>
  <x:si>
    <x:t>333</x:t>
  </x:si>
  <x:si>
    <x:t>10/1/2025 10:37:55</x:t>
  </x:si>
  <x:si>
    <x:t>навести курсор на ссылку “Каталог”</x:t>
  </x:si>
  <x:si>
    <x:t>навести курсор на  произвольную категорию</x:t>
  </x:si>
  <x:si>
    <x:t>ховер эффект есть, открываются подкатегории</x:t>
  </x:si>
  <x:si>
    <x:t>кликнуть на  произвольную категорию</x:t>
  </x:si>
  <x:si>
    <x:t>открывается страница с подкатегориями</x:t>
  </x:si>
  <x:si>
    <x:t>334</x:t>
  </x:si>
  <x:si>
    <x:t>10/1/2025 10:39:12</x:t>
  </x:si>
  <x:si>
    <x:t>0h 3m 0s</x:t>
  </x:si>
  <x:si>
    <x:t>навести курсор на  произвольную подкатегорию</x:t>
  </x:si>
  <x:si>
    <x:t>ховер эффект есть</x:t>
  </x:si>
  <x:si>
    <x:t>кликнуть произвольную подкатегорию</x:t>
  </x:si>
  <x:si>
    <x:t>открывается страница с товарами этой подкатегории</x:t>
  </x:si>
  <x:si>
    <x:t>542</x:t>
  </x:si>
  <x:si>
    <x:t>Низкий</x:t>
  </x:si>
  <x:si>
    <x:t>10/7/2025 07:15:33</x:t>
  </x:si>
  <x:si>
    <x:t>убедиться, что логотип сайта однозначен и понятен пользователю</x:t>
  </x:si>
  <x:si>
    <x:t>логотип сайта однозначен и понятен пользователю</x:t>
  </x:si>
  <x:si>
    <x:t>543</x:t>
  </x:si>
  <x:si>
    <x:t>10/7/2025 07:17:42</x:t>
  </x:si>
  <x:si>
    <x:t>убедиться, что ссылка “главная” однозначна и понятна пользователю и соответствует своему функционалу</x:t>
  </x:si>
  <x:si>
    <x:t>ссылка “главная” однозначна и понятна пользователю и соответствует своему функционалу</x:t>
  </x:si>
  <x:si>
    <x:t>544</x:t>
  </x:si>
  <x:si>
    <x:t>10/7/2025 07:23:35</x:t>
  </x:si>
  <x:si>
    <x:t>убедиться, что ссылка “заказ” однозначна и понятна пользователю и соответствует своему функционалу</x:t>
  </x:si>
  <x:si>
    <x:t>ссылка “заказ” однозначна и понятна пользователю и соответствует своему функционалу</x:t>
  </x:si>
  <x:si>
    <x:t>545</x:t>
  </x:si>
  <x:si>
    <x:t>10/7/2025 07:24:14</x:t>
  </x:si>
  <x:si>
    <x:t>убедиться, что ссылка “оплата” однозначна и понятна пользователю и соответствует своему функционалу</x:t>
  </x:si>
  <x:si>
    <x:t>ссылка “оплата” однозначна и понятна пользователю и соответствует своему функционалу</x:t>
  </x:si>
  <x:si>
    <x:t>546</x:t>
  </x:si>
  <x:si>
    <x:t>10/7/2025 07:24:46</x:t>
  </x:si>
  <x:si>
    <x:t>убедиться, что ссылка “получение” однозначна и понятна пользователю и соответствует своему функционалу</x:t>
  </x:si>
  <x:si>
    <x:t>ссылка “получение” однозначна и понятна пользователю и соответствует своему функционалу</x:t>
  </x:si>
  <x:si>
    <x:t>547</x:t>
  </x:si>
  <x:si>
    <x:t>10/7/2025 07:25:16</x:t>
  </x:si>
  <x:si>
    <x:t>убедиться, что ссылка “гарантия и возврат” однозначна и понятна пользователю и соответствует своему функционалу</x:t>
  </x:si>
  <x:si>
    <x:t>ссылка “гарантия и возврат” однозначна и понятна пользователю и соответствует своему функционалу</x:t>
  </x:si>
  <x:si>
    <x:t>548</x:t>
  </x:si>
  <x:si>
    <x:t>10/7/2025 07:26:41</x:t>
  </x:si>
  <x:si>
    <x:t>убедиться, подкатегории ссылки “прочее” однозначны и понятны пользователю и соответствуют своему функционалу</x:t>
  </x:si>
  <x:si>
    <x:t>подкатегории ссылки “прочее” однозначны и понятны пользователю и соответствуют своему функционалу</x:t>
  </x:si>
  <x:si>
    <x:t>549</x:t>
  </x:si>
  <x:si>
    <x:t>10/7/2025 07:27:54</x:t>
  </x:si>
  <x:si>
    <x:t>550</x:t>
  </x:si>
  <x:si>
    <x:t>10/7/2025 07:29:33</x:t>
  </x:si>
  <x:si>
    <x:t>убедиться, что ссылка с адресами однозначна и понятна пользователю и соответствует своему функционалу</x:t>
  </x:si>
  <x:si>
    <x:t>ссылка с адресами однозначна и понятна пользователю и соответствует своему функционалу</x:t>
  </x:si>
  <x:si>
    <x:t>551</x:t>
  </x:si>
  <x:si>
    <x:t>10/7/2025 07:31:55</x:t>
  </x:si>
  <x:si>
    <x:t>баг</x:t>
  </x:si>
  <x:si>
    <x:t>навести курсор на логотип whatsapp, кликнуть</x:t>
  </x:si>
  <x:si>
    <x:t>курсор мыши меняет форму, логотип whatsapp выглядит нормально, ссылка однозначна и понятна пользователю и соответствует своему функционалу</x:t>
  </x:si>
  <x:si>
    <x:t>552</x:t>
  </x:si>
  <x:si>
    <x:t>10/7/2025 07:35:00</x:t>
  </x:si>
  <x:si>
    <x:t>навести курсор на линк “наши товары на OZON”</x:t>
  </x:si>
  <x:si>
    <x:t>кликнуть на линк “наши товары на OZON”</x:t>
  </x:si>
  <x:si>
    <x:t>открывается страница со страницей Озона рыболовного магазина</x:t>
  </x:si>
  <x:si>
    <x:t>убедиться , что ссылка “наши товары на OZON” однозначна и понятна пользователю и соответствует своему функционалу</x:t>
  </x:si>
  <x:si>
    <x:t>ссылка “наши товары на OZON” однозначна и понятна пользователю и соответствует своему функционалу</x:t>
  </x:si>
  <x:si>
    <x:t>553</x:t>
  </x:si>
  <x:si>
    <x:t>Высокий</x:t>
  </x:si>
  <x:si>
    <x:t>10/7/2025 07:38:04</x:t>
  </x:si>
  <x:si>
    <x:t>навести курсор на линк “наши товары на WB”</x:t>
  </x:si>
  <x:si>
    <x:t>кликнуть на линк “наши товары на WB”</x:t>
  </x:si>
  <x:si>
    <x:t>открывается страница со страницей  рыболовного магазина на Wildberrries</x:t>
  </x:si>
  <x:si>
    <x:t>убедиться , что ссылка “наши товары на WB” однозначна и понятна пользователю и соответствует своему функционалу</x:t>
  </x:si>
  <x:si>
    <x:t>ссылка “наши товары на WB” однозначна и понятна пользователю и соответствует своему функционалу</x:t>
  </x:si>
  <x:si>
    <x:t>554</x:t>
  </x:si>
  <x:si>
    <x:t>10/7/2025 07:38:46</x:t>
  </x:si>
  <x:si>
    <x:t>убедиться, что ссылка “Корзина” однозначна и понятна пользователю и соответствует своему функционалу</x:t>
  </x:si>
  <x:si>
    <x:t>ссылка “Корзина” однозначна и понятна пользователю и соответствует своему функционалу</x:t>
  </x:si>
  <x:si>
    <x:t>555</x:t>
  </x:si>
  <x:si>
    <x:t>10/7/2025 07:40:28</x:t>
  </x:si>
  <x:si>
    <x:t>убедиться, что ссылка “Сравнение” однозначна и понятна пользователю и соответствует своему функционалу</x:t>
  </x:si>
  <x:si>
    <x:t>ссылка “Сравнение” однозначна и понятна пользователю и соответствует своему функционалу</x:t>
  </x:si>
  <x:si>
    <x:t>556</x:t>
  </x:si>
  <x:si>
    <x:t>10/7/2025 07:40:50</x:t>
  </x:si>
  <x:si>
    <x:t>убедиться, что ссылка “избранное” однозначна и понятна пользователю и соответствует своему функционалу</x:t>
  </x:si>
  <x:si>
    <x:t>ссылка “избранное” однозначна и понятна пользователю и соответствует своему функционалу</x:t>
  </x:si>
  <x:si>
    <x:t>557</x:t>
  </x:si>
  <x:si>
    <x:t>10/7/2025 07:41:54</x:t>
  </x:si>
  <x:si>
    <x:t>убедиться, что поиск однозначен и понятен пользователю и соответствует своему функционалу</x:t>
  </x:si>
  <x:si>
    <x:t>поиск однозначен и понятен пользователю и соответствует своему функционалу</x:t>
  </x:si>
  <x:si>
    <x:t>558</x:t>
  </x:si>
  <x:si>
    <x:t>10/7/2025 07:42:28</x:t>
  </x:si>
  <x:si>
    <x:t>убедиться, что ссылка работа Каталога  однозначна и понятна пользователю и соответствует своему функционалу</x:t>
  </x:si>
  <x:si>
    <x:t>работа Каталога  однозначна и понятна пользователю и соответствует своему функционалу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</x:si>
</x:sst>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88" totalsRowShown="0">
  <x:autoFilter ref="A1:Q188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88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5.996339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28.996339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28.996339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HYPERLINK("https://team-v23u.testit.software/projects/142/tests/312", "старт")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HYPERLINK("https://team-v23u.testit.software/projects/142/tests/313", "лого")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30</x:v>
      </x:c>
      <x:c r="Q4" s="1" t="s">
        <x:v>31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26</x:v>
      </x:c>
      <x:c r="G5" s="1" t="s">
        <x:v>20</x:v>
      </x:c>
      <x:c r="H5" s="1" t="s">
        <x:v>27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32</x:v>
      </x:c>
      <x:c r="G6" s="1" t="s">
        <x:v>20</x:v>
      </x:c>
      <x:c r="H6" s="1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1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36</x:v>
      </x:c>
      <x:c r="B8" s="2" t="s">
        <x:v>18</x:v>
      </x:c>
      <x:c r="C8" s="2">
        <x:f>HYPERLINK("https://team-v23u.testit.software/projects/142/tests/314", "главная")</x:f>
      </x:c>
      <x:c r="D8" s="1" t="s">
        <x:v>19</x:v>
      </x:c>
      <x:c r="E8" s="1" t="s">
        <x:v>20</x:v>
      </x:c>
      <x:c r="F8" s="1" t="s">
        <x:v>20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21</x:v>
      </x:c>
      <x:c r="M8" s="1" t="s">
        <x:v>22</x:v>
      </x:c>
      <x:c r="N8" s="1" t="s">
        <x:v>37</x:v>
      </x:c>
      <x:c r="O8" s="1" t="s">
        <x:v>24</x:v>
      </x:c>
      <x:c r="P8" s="1" t="s">
        <x:v>30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26</x:v>
      </x:c>
      <x:c r="G9" s="1" t="s">
        <x:v>20</x:v>
      </x:c>
      <x:c r="H9" s="1" t="s">
        <x:v>27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38</x:v>
      </x:c>
      <x:c r="G10" s="1" t="s">
        <x:v>20</x:v>
      </x:c>
      <x:c r="H10" s="1" t="s">
        <x:v>39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40</x:v>
      </x:c>
      <x:c r="G11" s="1" t="s">
        <x:v>20</x:v>
      </x:c>
      <x:c r="H11" s="1" t="s">
        <x:v>35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41</x:v>
      </x:c>
      <x:c r="B12" s="2" t="s">
        <x:v>18</x:v>
      </x:c>
      <x:c r="C12" s="2">
        <x:f>HYPERLINK("https://team-v23u.testit.software/projects/142/tests/315", "адреса и контакты")</x:f>
      </x:c>
      <x:c r="D12" s="1" t="s">
        <x:v>19</x:v>
      </x:c>
      <x:c r="E12" s="1" t="s">
        <x:v>20</x:v>
      </x:c>
      <x:c r="F12" s="1" t="s">
        <x:v>20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21</x:v>
      </x:c>
      <x:c r="M12" s="1" t="s">
        <x:v>22</x:v>
      </x:c>
      <x:c r="N12" s="1" t="s">
        <x:v>42</x:v>
      </x:c>
      <x:c r="O12" s="1" t="s">
        <x:v>24</x:v>
      </x:c>
      <x:c r="P12" s="1" t="s">
        <x:v>30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26</x:v>
      </x:c>
      <x:c r="G13" s="1" t="s">
        <x:v>20</x:v>
      </x:c>
      <x:c r="H13" s="1" t="s">
        <x:v>27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43</x:v>
      </x:c>
      <x:c r="G14" s="1" t="s">
        <x:v>20</x:v>
      </x:c>
      <x:c r="H14" s="1" t="s">
        <x:v>39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44</x:v>
      </x:c>
      <x:c r="G15" s="1" t="s">
        <x:v>20</x:v>
      </x:c>
      <x:c r="H15" s="1" t="s">
        <x:v>45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46</x:v>
      </x:c>
      <x:c r="G16" s="1" t="s">
        <x:v>20</x:v>
      </x:c>
      <x:c r="H16" s="1" t="s">
        <x:v>47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48</x:v>
      </x:c>
      <x:c r="B17" s="2" t="s">
        <x:v>18</x:v>
      </x:c>
      <x:c r="C17" s="2">
        <x:f>HYPERLINK("https://team-v23u.testit.software/projects/142/tests/316", "заказ")</x:f>
      </x:c>
      <x:c r="D17" s="1" t="s">
        <x:v>19</x:v>
      </x:c>
      <x:c r="E17" s="1" t="s">
        <x:v>20</x:v>
      </x:c>
      <x:c r="F17" s="1" t="s">
        <x:v>20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21</x:v>
      </x:c>
      <x:c r="M17" s="1" t="s">
        <x:v>22</x:v>
      </x:c>
      <x:c r="N17" s="1" t="s">
        <x:v>49</x:v>
      </x:c>
      <x:c r="O17" s="1" t="s">
        <x:v>24</x:v>
      </x:c>
      <x:c r="P17" s="1" t="s">
        <x:v>30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26</x:v>
      </x:c>
      <x:c r="G18" s="1" t="s">
        <x:v>20</x:v>
      </x:c>
      <x:c r="H18" s="1" t="s">
        <x:v>27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50</x:v>
      </x:c>
      <x:c r="G19" s="1" t="s">
        <x:v>20</x:v>
      </x:c>
      <x:c r="H19" s="1" t="s">
        <x:v>39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51</x:v>
      </x:c>
      <x:c r="G20" s="1" t="s">
        <x:v>20</x:v>
      </x:c>
      <x:c r="H20" s="1" t="s">
        <x:v>52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53</x:v>
      </x:c>
      <x:c r="B21" s="2" t="s">
        <x:v>18</x:v>
      </x:c>
      <x:c r="C21" s="2">
        <x:f>HYPERLINK("https://team-v23u.testit.software/projects/142/tests/317", "оплата")</x:f>
      </x:c>
      <x:c r="D21" s="1" t="s">
        <x:v>19</x:v>
      </x:c>
      <x:c r="E21" s="1" t="s">
        <x:v>20</x:v>
      </x:c>
      <x:c r="F21" s="1" t="s">
        <x:v>20</x:v>
      </x:c>
      <x:c r="G21" s="1" t="s">
        <x:v>20</x:v>
      </x:c>
      <x:c r="H21" s="1" t="s">
        <x:v>20</x:v>
      </x:c>
      <x:c r="I21" s="1" t="s">
        <x:v>20</x:v>
      </x:c>
      <x:c r="J21" s="1" t="s">
        <x:v>20</x:v>
      </x:c>
      <x:c r="K21" s="1" t="s">
        <x:v>20</x:v>
      </x:c>
      <x:c r="L21" s="1" t="s">
        <x:v>21</x:v>
      </x:c>
      <x:c r="M21" s="1" t="s">
        <x:v>22</x:v>
      </x:c>
      <x:c r="N21" s="1" t="s">
        <x:v>54</x:v>
      </x:c>
      <x:c r="O21" s="1" t="s">
        <x:v>24</x:v>
      </x:c>
      <x:c r="P21" s="1" t="s">
        <x:v>30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26</x:v>
      </x:c>
      <x:c r="G22" s="1" t="s">
        <x:v>20</x:v>
      </x:c>
      <x:c r="H22" s="1" t="s">
        <x:v>27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55</x:v>
      </x:c>
      <x:c r="G23" s="1" t="s">
        <x:v>20</x:v>
      </x:c>
      <x:c r="H23" s="1" t="s">
        <x:v>39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56</x:v>
      </x:c>
      <x:c r="G24" s="1" t="s">
        <x:v>20</x:v>
      </x:c>
      <x:c r="H24" s="1" t="s">
        <x:v>57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58</x:v>
      </x:c>
      <x:c r="B25" s="2" t="s">
        <x:v>18</x:v>
      </x:c>
      <x:c r="C25" s="2">
        <x:f>HYPERLINK("https://team-v23u.testit.software/projects/142/tests/318", "получение")</x:f>
      </x:c>
      <x:c r="D25" s="1" t="s">
        <x:v>19</x:v>
      </x:c>
      <x:c r="E25" s="1" t="s">
        <x:v>20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21</x:v>
      </x:c>
      <x:c r="M25" s="1" t="s">
        <x:v>22</x:v>
      </x:c>
      <x:c r="N25" s="1" t="s">
        <x:v>59</x:v>
      </x:c>
      <x:c r="O25" s="1" t="s">
        <x:v>24</x:v>
      </x:c>
      <x:c r="P25" s="1" t="s">
        <x:v>30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26</x:v>
      </x:c>
      <x:c r="G26" s="1" t="s">
        <x:v>20</x:v>
      </x:c>
      <x:c r="H26" s="1" t="s">
        <x:v>27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60</x:v>
      </x:c>
      <x:c r="G27" s="1" t="s">
        <x:v>20</x:v>
      </x:c>
      <x:c r="H27" s="1" t="s">
        <x:v>39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56</x:v>
      </x:c>
      <x:c r="G28" s="1" t="s">
        <x:v>20</x:v>
      </x:c>
      <x:c r="H28" s="1" t="s">
        <x:v>61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62</x:v>
      </x:c>
      <x:c r="B29" s="2" t="s">
        <x:v>18</x:v>
      </x:c>
      <x:c r="C29" s="2">
        <x:f>HYPERLINK("https://team-v23u.testit.software/projects/142/tests/319", "гарантия и возврат")</x:f>
      </x:c>
      <x:c r="D29" s="1" t="s">
        <x:v>19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21</x:v>
      </x:c>
      <x:c r="M29" s="1" t="s">
        <x:v>22</x:v>
      </x:c>
      <x:c r="N29" s="1" t="s">
        <x:v>63</x:v>
      </x:c>
      <x:c r="O29" s="1" t="s">
        <x:v>24</x:v>
      </x:c>
      <x:c r="P29" s="1" t="s">
        <x:v>30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26</x:v>
      </x:c>
      <x:c r="G30" s="1" t="s">
        <x:v>20</x:v>
      </x:c>
      <x:c r="H30" s="1" t="s">
        <x:v>27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64</x:v>
      </x:c>
      <x:c r="G31" s="1" t="s">
        <x:v>20</x:v>
      </x:c>
      <x:c r="H31" s="1" t="s">
        <x:v>39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56</x:v>
      </x:c>
      <x:c r="G32" s="1" t="s">
        <x:v>20</x:v>
      </x:c>
      <x:c r="H32" s="1" t="s">
        <x:v>65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66</x:v>
      </x:c>
      <x:c r="B33" s="2" t="s">
        <x:v>18</x:v>
      </x:c>
      <x:c r="C33" s="2">
        <x:f>HYPERLINK("https://team-v23u.testit.software/projects/142/tests/320", "прочее-Пользовательское соглашение")</x:f>
      </x:c>
      <x:c r="D33" s="1" t="s">
        <x:v>19</x:v>
      </x:c>
      <x:c r="E33" s="1" t="s">
        <x:v>20</x:v>
      </x:c>
      <x:c r="F33" s="1" t="s">
        <x:v>20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20</x:v>
      </x:c>
      <x:c r="L33" s="1" t="s">
        <x:v>21</x:v>
      </x:c>
      <x:c r="M33" s="1" t="s">
        <x:v>22</x:v>
      </x:c>
      <x:c r="N33" s="1" t="s">
        <x:v>67</x:v>
      </x:c>
      <x:c r="O33" s="1" t="s">
        <x:v>24</x:v>
      </x:c>
      <x:c r="P33" s="1" t="s">
        <x:v>30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26</x:v>
      </x:c>
      <x:c r="G34" s="1" t="s">
        <x:v>20</x:v>
      </x:c>
      <x:c r="H34" s="1" t="s">
        <x:v>27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68</x:v>
      </x:c>
      <x:c r="G35" s="1" t="s">
        <x:v>20</x:v>
      </x:c>
      <x:c r="H35" s="1" t="s">
        <x:v>69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70</x:v>
      </x:c>
      <x:c r="G36" s="1" t="s">
        <x:v>20</x:v>
      </x:c>
      <x:c r="H36" s="1" t="s">
        <x:v>71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72</x:v>
      </x:c>
      <x:c r="G37" s="1" t="s">
        <x:v>20</x:v>
      </x:c>
      <x:c r="H37" s="1" t="s">
        <x:v>73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74</x:v>
      </x:c>
      <x:c r="B38" s="2" t="s">
        <x:v>18</x:v>
      </x:c>
      <x:c r="C38" s="2">
        <x:f>HYPERLINK("https://team-v23u.testit.software/projects/142/tests/321", " прочее-Политика обработки персональных данных")</x:f>
      </x:c>
      <x:c r="D38" s="1" t="s">
        <x:v>19</x:v>
      </x:c>
      <x:c r="E38" s="1" t="s">
        <x:v>20</x:v>
      </x:c>
      <x:c r="F38" s="1" t="s">
        <x:v>20</x:v>
      </x:c>
      <x:c r="G38" s="1" t="s">
        <x:v>20</x:v>
      </x:c>
      <x:c r="H38" s="1" t="s">
        <x:v>20</x:v>
      </x:c>
      <x:c r="I38" s="1" t="s">
        <x:v>20</x:v>
      </x:c>
      <x:c r="J38" s="1" t="s">
        <x:v>20</x:v>
      </x:c>
      <x:c r="K38" s="1" t="s">
        <x:v>20</x:v>
      </x:c>
      <x:c r="L38" s="1" t="s">
        <x:v>21</x:v>
      </x:c>
      <x:c r="M38" s="1" t="s">
        <x:v>22</x:v>
      </x:c>
      <x:c r="N38" s="1" t="s">
        <x:v>75</x:v>
      </x:c>
      <x:c r="O38" s="1" t="s">
        <x:v>24</x:v>
      </x:c>
      <x:c r="P38" s="1" t="s">
        <x:v>30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26</x:v>
      </x:c>
      <x:c r="G39" s="1" t="s">
        <x:v>20</x:v>
      </x:c>
      <x:c r="H39" s="1" t="s">
        <x:v>27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68</x:v>
      </x:c>
      <x:c r="G40" s="1" t="s">
        <x:v>20</x:v>
      </x:c>
      <x:c r="H40" s="1" t="s">
        <x:v>69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76</x:v>
      </x:c>
      <x:c r="G41" s="1" t="s">
        <x:v>20</x:v>
      </x:c>
      <x:c r="H41" s="1" t="s">
        <x:v>71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77</x:v>
      </x:c>
      <x:c r="G42" s="1" t="s">
        <x:v>20</x:v>
      </x:c>
      <x:c r="H42" s="1" t="s">
        <x:v>78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79</x:v>
      </x:c>
      <x:c r="B43" s="2" t="s">
        <x:v>18</x:v>
      </x:c>
      <x:c r="C43" s="2">
        <x:f>HYPERLINK("https://team-v23u.testit.software/projects/142/tests/322", "адрес")</x:f>
      </x:c>
      <x:c r="D43" s="1" t="s">
        <x:v>19</x:v>
      </x:c>
      <x:c r="E43" s="1" t="s">
        <x:v>20</x:v>
      </x:c>
      <x:c r="F43" s="1" t="s">
        <x:v>20</x:v>
      </x:c>
      <x:c r="G43" s="1" t="s">
        <x:v>20</x:v>
      </x:c>
      <x:c r="H43" s="1" t="s">
        <x:v>20</x:v>
      </x:c>
      <x:c r="I43" s="1" t="s">
        <x:v>20</x:v>
      </x:c>
      <x:c r="J43" s="1" t="s">
        <x:v>20</x:v>
      </x:c>
      <x:c r="K43" s="1" t="s">
        <x:v>20</x:v>
      </x:c>
      <x:c r="L43" s="1" t="s">
        <x:v>21</x:v>
      </x:c>
      <x:c r="M43" s="1" t="s">
        <x:v>22</x:v>
      </x:c>
      <x:c r="N43" s="1" t="s">
        <x:v>80</x:v>
      </x:c>
      <x:c r="O43" s="1" t="s">
        <x:v>24</x:v>
      </x:c>
      <x:c r="P43" s="1" t="s">
        <x:v>30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26</x:v>
      </x:c>
      <x:c r="G44" s="1" t="s">
        <x:v>20</x:v>
      </x:c>
      <x:c r="H44" s="1" t="s">
        <x:v>27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81</x:v>
      </x:c>
      <x:c r="G45" s="1" t="s">
        <x:v>20</x:v>
      </x:c>
      <x:c r="H45" s="1" t="s">
        <x:v>33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56</x:v>
      </x:c>
      <x:c r="G46" s="1" t="s">
        <x:v>20</x:v>
      </x:c>
      <x:c r="H46" s="1" t="s">
        <x:v>82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83</x:v>
      </x:c>
      <x:c r="B47" s="2" t="s">
        <x:v>18</x:v>
      </x:c>
      <x:c r="C47" s="2">
        <x:f>HYPERLINK("https://team-v23u.testit.software/projects/142/tests/323", "телефон")</x:f>
      </x:c>
      <x:c r="D47" s="1" t="s">
        <x:v>19</x:v>
      </x:c>
      <x:c r="E47" s="1" t="s">
        <x:v>20</x:v>
      </x:c>
      <x:c r="F47" s="1" t="s">
        <x:v>20</x:v>
      </x:c>
      <x:c r="G47" s="1" t="s">
        <x:v>20</x:v>
      </x:c>
      <x:c r="H47" s="1" t="s">
        <x:v>20</x:v>
      </x:c>
      <x:c r="I47" s="1" t="s">
        <x:v>20</x:v>
      </x:c>
      <x:c r="J47" s="1" t="s">
        <x:v>20</x:v>
      </x:c>
      <x:c r="K47" s="1" t="s">
        <x:v>20</x:v>
      </x:c>
      <x:c r="L47" s="1" t="s">
        <x:v>21</x:v>
      </x:c>
      <x:c r="M47" s="1" t="s">
        <x:v>22</x:v>
      </x:c>
      <x:c r="N47" s="1" t="s">
        <x:v>84</x:v>
      </x:c>
      <x:c r="O47" s="1" t="s">
        <x:v>24</x:v>
      </x:c>
      <x:c r="P47" s="1" t="s">
        <x:v>30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26</x:v>
      </x:c>
      <x:c r="G48" s="1" t="s">
        <x:v>20</x:v>
      </x:c>
      <x:c r="H48" s="1" t="s">
        <x:v>27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85</x:v>
      </x:c>
      <x:c r="G49" s="1" t="s">
        <x:v>20</x:v>
      </x:c>
      <x:c r="H49" s="1" t="s">
        <x:v>86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56</x:v>
      </x:c>
      <x:c r="G50" s="1" t="s">
        <x:v>20</x:v>
      </x:c>
      <x:c r="H50" s="1" t="s">
        <x:v>87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88</x:v>
      </x:c>
      <x:c r="B51" s="2" t="s">
        <x:v>18</x:v>
      </x:c>
      <x:c r="C51" s="2">
        <x:f>HYPERLINK("https://team-v23u.testit.software/projects/142/tests/324", "whatsapp логотип")</x:f>
      </x:c>
      <x:c r="D51" s="1" t="s">
        <x:v>19</x:v>
      </x:c>
      <x:c r="E51" s="1" t="s">
        <x:v>20</x:v>
      </x:c>
      <x:c r="F51" s="1" t="s">
        <x:v>20</x:v>
      </x:c>
      <x:c r="G51" s="1" t="s">
        <x:v>20</x:v>
      </x:c>
      <x:c r="H51" s="1" t="s">
        <x:v>20</x:v>
      </x:c>
      <x:c r="I51" s="1" t="s">
        <x:v>20</x:v>
      </x:c>
      <x:c r="J51" s="1" t="s">
        <x:v>20</x:v>
      </x:c>
      <x:c r="K51" s="1" t="s">
        <x:v>20</x:v>
      </x:c>
      <x:c r="L51" s="1" t="s">
        <x:v>21</x:v>
      </x:c>
      <x:c r="M51" s="1" t="s">
        <x:v>89</x:v>
      </x:c>
      <x:c r="N51" s="1" t="s">
        <x:v>90</x:v>
      </x:c>
      <x:c r="O51" s="1" t="s">
        <x:v>24</x:v>
      </x:c>
      <x:c r="P51" s="1" t="s">
        <x:v>30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26</x:v>
      </x:c>
      <x:c r="G52" s="1" t="s">
        <x:v>20</x:v>
      </x:c>
      <x:c r="H52" s="1" t="s">
        <x:v>27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91</x:v>
      </x:c>
      <x:c r="G53" s="1" t="s">
        <x:v>20</x:v>
      </x:c>
      <x:c r="H53" s="1" t="s">
        <x:v>92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93</x:v>
      </x:c>
      <x:c r="B54" s="2" t="s">
        <x:v>18</x:v>
      </x:c>
      <x:c r="C54" s="2">
        <x:f>HYPERLINK("https://team-v23u.testit.software/projects/142/tests/325", " whatsapp соответствие")</x:f>
      </x:c>
      <x:c r="D54" s="1" t="s">
        <x:v>19</x:v>
      </x:c>
      <x:c r="E54" s="1" t="s">
        <x:v>20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21</x:v>
      </x:c>
      <x:c r="M54" s="1" t="s">
        <x:v>22</x:v>
      </x:c>
      <x:c r="N54" s="1" t="s">
        <x:v>94</x:v>
      </x:c>
      <x:c r="O54" s="1" t="s">
        <x:v>24</x:v>
      </x:c>
      <x:c r="P54" s="1" t="s">
        <x:v>30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26</x:v>
      </x:c>
      <x:c r="G55" s="1" t="s">
        <x:v>20</x:v>
      </x:c>
      <x:c r="H55" s="1" t="s">
        <x:v>27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91</x:v>
      </x:c>
      <x:c r="G56" s="1" t="s">
        <x:v>20</x:v>
      </x:c>
      <x:c r="H56" s="1" t="s">
        <x:v>33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95</x:v>
      </x:c>
      <x:c r="G57" s="1" t="s">
        <x:v>20</x:v>
      </x:c>
      <x:c r="H57" s="1" t="s">
        <x:v>96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97</x:v>
      </x:c>
      <x:c r="B58" s="2" t="s">
        <x:v>18</x:v>
      </x:c>
      <x:c r="C58" s="2">
        <x:f>HYPERLINK("https://team-v23u.testit.software/projects/142/tests/326", "заказать звонок")</x:f>
      </x:c>
      <x:c r="D58" s="1" t="s">
        <x:v>19</x:v>
      </x:c>
      <x:c r="E58" s="1" t="s">
        <x:v>20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21</x:v>
      </x:c>
      <x:c r="M58" s="1" t="s">
        <x:v>89</x:v>
      </x:c>
      <x:c r="N58" s="1" t="s">
        <x:v>98</x:v>
      </x:c>
      <x:c r="O58" s="1" t="s">
        <x:v>24</x:v>
      </x:c>
      <x:c r="P58" s="1" t="s">
        <x:v>30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26</x:v>
      </x:c>
      <x:c r="G59" s="1" t="s">
        <x:v>20</x:v>
      </x:c>
      <x:c r="H59" s="1" t="s">
        <x:v>27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99</x:v>
      </x:c>
      <x:c r="G60" s="1" t="s">
        <x:v>20</x:v>
      </x:c>
      <x:c r="H60" s="1" t="s">
        <x:v>33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100</x:v>
      </x:c>
      <x:c r="G61" s="1" t="s">
        <x:v>20</x:v>
      </x:c>
      <x:c r="H61" s="1" t="s">
        <x:v>101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102</x:v>
      </x:c>
      <x:c r="B62" s="2" t="s">
        <x:v>18</x:v>
      </x:c>
      <x:c r="C62" s="2">
        <x:f>HYPERLINK("https://team-v23u.testit.software/projects/142/tests/327", "ВК")</x:f>
      </x:c>
      <x:c r="D62" s="1" t="s">
        <x:v>19</x:v>
      </x:c>
      <x:c r="E62" s="1" t="s">
        <x:v>20</x:v>
      </x:c>
      <x:c r="F62" s="1" t="s">
        <x:v>20</x:v>
      </x:c>
      <x:c r="G62" s="1" t="s">
        <x:v>20</x:v>
      </x:c>
      <x:c r="H62" s="1" t="s">
        <x:v>20</x:v>
      </x:c>
      <x:c r="I62" s="1" t="s">
        <x:v>20</x:v>
      </x:c>
      <x:c r="J62" s="1" t="s">
        <x:v>20</x:v>
      </x:c>
      <x:c r="K62" s="1" t="s">
        <x:v>20</x:v>
      </x:c>
      <x:c r="L62" s="1" t="s">
        <x:v>21</x:v>
      </x:c>
      <x:c r="M62" s="1" t="s">
        <x:v>22</x:v>
      </x:c>
      <x:c r="N62" s="1" t="s">
        <x:v>103</x:v>
      </x:c>
      <x:c r="O62" s="1" t="s">
        <x:v>24</x:v>
      </x:c>
      <x:c r="P62" s="1" t="s">
        <x:v>30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26</x:v>
      </x:c>
      <x:c r="G63" s="1" t="s">
        <x:v>20</x:v>
      </x:c>
      <x:c r="H63" s="1" t="s">
        <x:v>27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104</x:v>
      </x:c>
      <x:c r="G64" s="1" t="s">
        <x:v>20</x:v>
      </x:c>
      <x:c r="H64" s="1" t="s">
        <x:v>33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105</x:v>
      </x:c>
      <x:c r="G65" s="1" t="s">
        <x:v>20</x:v>
      </x:c>
      <x:c r="H65" s="1" t="s">
        <x:v>106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107</x:v>
      </x:c>
      <x:c r="B66" s="2" t="s">
        <x:v>18</x:v>
      </x:c>
      <x:c r="C66" s="2">
        <x:f>HYPERLINK("https://team-v23u.testit.software/projects/142/tests/328", "ютуб")</x:f>
      </x:c>
      <x:c r="D66" s="1" t="s">
        <x:v>19</x:v>
      </x:c>
      <x:c r="E66" s="1" t="s">
        <x:v>20</x:v>
      </x:c>
      <x:c r="F66" s="1" t="s">
        <x:v>20</x:v>
      </x:c>
      <x:c r="G66" s="1" t="s">
        <x:v>20</x:v>
      </x:c>
      <x:c r="H66" s="1" t="s">
        <x:v>20</x:v>
      </x:c>
      <x:c r="I66" s="1" t="s">
        <x:v>20</x:v>
      </x:c>
      <x:c r="J66" s="1" t="s">
        <x:v>20</x:v>
      </x:c>
      <x:c r="K66" s="1" t="s">
        <x:v>20</x:v>
      </x:c>
      <x:c r="L66" s="1" t="s">
        <x:v>21</x:v>
      </x:c>
      <x:c r="M66" s="1" t="s">
        <x:v>22</x:v>
      </x:c>
      <x:c r="N66" s="1" t="s">
        <x:v>108</x:v>
      </x:c>
      <x:c r="O66" s="1" t="s">
        <x:v>24</x:v>
      </x:c>
      <x:c r="P66" s="1" t="s">
        <x:v>30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109</x:v>
      </x:c>
      <x:c r="F67" s="1" t="s">
        <x:v>20</x:v>
      </x:c>
      <x:c r="G67" s="1" t="s">
        <x:v>20</x:v>
      </x:c>
      <x:c r="H67" s="1" t="s">
        <x:v>20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26</x:v>
      </x:c>
      <x:c r="G68" s="1" t="s">
        <x:v>20</x:v>
      </x:c>
      <x:c r="H68" s="1" t="s">
        <x:v>27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110</x:v>
      </x:c>
      <x:c r="G69" s="1" t="s">
        <x:v>20</x:v>
      </x:c>
      <x:c r="H69" s="1" t="s">
        <x:v>33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111</x:v>
      </x:c>
      <x:c r="G70" s="1" t="s">
        <x:v>20</x:v>
      </x:c>
      <x:c r="H70" s="1" t="s">
        <x:v>112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113</x:v>
      </x:c>
      <x:c r="B71" s="2" t="s">
        <x:v>18</x:v>
      </x:c>
      <x:c r="C71" s="2">
        <x:f>HYPERLINK("https://team-v23u.testit.software/projects/142/tests/329", "корзина")</x:f>
      </x:c>
      <x:c r="D71" s="1" t="s">
        <x:v>19</x:v>
      </x:c>
      <x:c r="E71" s="1" t="s">
        <x:v>20</x:v>
      </x:c>
      <x:c r="F71" s="1" t="s">
        <x:v>20</x:v>
      </x:c>
      <x:c r="G71" s="1" t="s">
        <x:v>20</x:v>
      </x:c>
      <x:c r="H71" s="1" t="s">
        <x:v>20</x:v>
      </x:c>
      <x:c r="I71" s="1" t="s">
        <x:v>20</x:v>
      </x:c>
      <x:c r="J71" s="1" t="s">
        <x:v>20</x:v>
      </x:c>
      <x:c r="K71" s="1" t="s">
        <x:v>20</x:v>
      </x:c>
      <x:c r="L71" s="1" t="s">
        <x:v>21</x:v>
      </x:c>
      <x:c r="M71" s="1" t="s">
        <x:v>22</x:v>
      </x:c>
      <x:c r="N71" s="1" t="s">
        <x:v>114</x:v>
      </x:c>
      <x:c r="O71" s="1" t="s">
        <x:v>24</x:v>
      </x:c>
      <x:c r="P71" s="1" t="s">
        <x:v>30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26</x:v>
      </x:c>
      <x:c r="G72" s="1" t="s">
        <x:v>20</x:v>
      </x:c>
      <x:c r="H72" s="1" t="s">
        <x:v>27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115</x:v>
      </x:c>
      <x:c r="G73" s="1" t="s">
        <x:v>20</x:v>
      </x:c>
      <x:c r="H73" s="1" t="s">
        <x:v>116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117</x:v>
      </x:c>
      <x:c r="G74" s="1" t="s">
        <x:v>20</x:v>
      </x:c>
      <x:c r="H74" s="1" t="s">
        <x:v>118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20</x:v>
      </x:c>
      <x:c r="G75" s="1" t="s">
        <x:v>119</x:v>
      </x:c>
      <x:c r="H75" s="1" t="s">
        <x:v>20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120</x:v>
      </x:c>
      <x:c r="B76" s="2" t="s">
        <x:v>18</x:v>
      </x:c>
      <x:c r="C76" s="2">
        <x:f>HYPERLINK("https://team-v23u.testit.software/projects/142/tests/330", "сравнение")</x:f>
      </x:c>
      <x:c r="D76" s="1" t="s">
        <x:v>19</x:v>
      </x:c>
      <x:c r="E76" s="1" t="s">
        <x:v>20</x:v>
      </x:c>
      <x:c r="F76" s="1" t="s">
        <x:v>20</x:v>
      </x:c>
      <x:c r="G76" s="1" t="s">
        <x:v>20</x:v>
      </x:c>
      <x:c r="H76" s="1" t="s">
        <x:v>20</x:v>
      </x:c>
      <x:c r="I76" s="1" t="s">
        <x:v>20</x:v>
      </x:c>
      <x:c r="J76" s="1" t="s">
        <x:v>20</x:v>
      </x:c>
      <x:c r="K76" s="1" t="s">
        <x:v>20</x:v>
      </x:c>
      <x:c r="L76" s="1" t="s">
        <x:v>21</x:v>
      </x:c>
      <x:c r="M76" s="1" t="s">
        <x:v>22</x:v>
      </x:c>
      <x:c r="N76" s="1" t="s">
        <x:v>121</x:v>
      </x:c>
      <x:c r="O76" s="1" t="s">
        <x:v>24</x:v>
      </x:c>
      <x:c r="P76" s="1" t="s">
        <x:v>30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26</x:v>
      </x:c>
      <x:c r="G77" s="1" t="s">
        <x:v>20</x:v>
      </x:c>
      <x:c r="H77" s="1" t="s">
        <x:v>27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122</x:v>
      </x:c>
      <x:c r="G78" s="1" t="s">
        <x:v>20</x:v>
      </x:c>
      <x:c r="H78" s="1" t="s">
        <x:v>39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20</x:v>
      </x:c>
      <x:c r="F79" s="1" t="s">
        <x:v>123</x:v>
      </x:c>
      <x:c r="G79" s="1" t="s">
        <x:v>20</x:v>
      </x:c>
      <x:c r="H79" s="1" t="s">
        <x:v>124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1" t="s">
        <x:v>20</x:v>
      </x:c>
      <x:c r="G80" s="1" t="s">
        <x:v>119</x:v>
      </x:c>
      <x:c r="H80" s="1" t="s">
        <x:v>20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125</x:v>
      </x:c>
      <x:c r="B81" s="2" t="s">
        <x:v>18</x:v>
      </x:c>
      <x:c r="C81" s="2">
        <x:f>HYPERLINK("https://team-v23u.testit.software/projects/142/tests/331", "избранное")</x:f>
      </x:c>
      <x:c r="D81" s="1" t="s">
        <x:v>19</x:v>
      </x:c>
      <x:c r="E81" s="1" t="s">
        <x:v>20</x:v>
      </x:c>
      <x:c r="F81" s="1" t="s">
        <x:v>20</x:v>
      </x:c>
      <x:c r="G81" s="1" t="s">
        <x:v>20</x:v>
      </x:c>
      <x:c r="H81" s="1" t="s">
        <x:v>20</x:v>
      </x:c>
      <x:c r="I81" s="1" t="s">
        <x:v>20</x:v>
      </x:c>
      <x:c r="J81" s="1" t="s">
        <x:v>20</x:v>
      </x:c>
      <x:c r="K81" s="1" t="s">
        <x:v>20</x:v>
      </x:c>
      <x:c r="L81" s="1" t="s">
        <x:v>21</x:v>
      </x:c>
      <x:c r="M81" s="1" t="s">
        <x:v>22</x:v>
      </x:c>
      <x:c r="N81" s="1" t="s">
        <x:v>126</x:v>
      </x:c>
      <x:c r="O81" s="1" t="s">
        <x:v>24</x:v>
      </x:c>
      <x:c r="P81" s="1" t="s">
        <x:v>30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26</x:v>
      </x:c>
      <x:c r="G82" s="1" t="s">
        <x:v>20</x:v>
      </x:c>
      <x:c r="H82" s="1" t="s">
        <x:v>27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127</x:v>
      </x:c>
      <x:c r="G83" s="1" t="s">
        <x:v>20</x:v>
      </x:c>
      <x:c r="H83" s="1" t="s">
        <x:v>39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123</x:v>
      </x:c>
      <x:c r="G84" s="1" t="s">
        <x:v>20</x:v>
      </x:c>
      <x:c r="H84" s="1" t="s">
        <x:v>128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20</x:v>
      </x:c>
      <x:c r="G85" s="1" t="s">
        <x:v>119</x:v>
      </x:c>
      <x:c r="H85" s="1" t="s">
        <x:v>20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129</x:v>
      </x:c>
      <x:c r="B86" s="2" t="s">
        <x:v>18</x:v>
      </x:c>
      <x:c r="C86" s="2">
        <x:f>HYPERLINK("https://team-v23u.testit.software/projects/142/tests/332", "поиск")</x:f>
      </x:c>
      <x:c r="D86" s="1" t="s">
        <x:v>19</x:v>
      </x:c>
      <x:c r="E86" s="1" t="s">
        <x:v>20</x:v>
      </x:c>
      <x:c r="F86" s="1" t="s">
        <x:v>20</x:v>
      </x:c>
      <x:c r="G86" s="1" t="s">
        <x:v>20</x:v>
      </x:c>
      <x:c r="H86" s="1" t="s">
        <x:v>20</x:v>
      </x:c>
      <x:c r="I86" s="1" t="s">
        <x:v>20</x:v>
      </x:c>
      <x:c r="J86" s="1" t="s">
        <x:v>20</x:v>
      </x:c>
      <x:c r="K86" s="1" t="s">
        <x:v>20</x:v>
      </x:c>
      <x:c r="L86" s="1" t="s">
        <x:v>21</x:v>
      </x:c>
      <x:c r="M86" s="1" t="s">
        <x:v>22</x:v>
      </x:c>
      <x:c r="N86" s="1" t="s">
        <x:v>130</x:v>
      </x:c>
      <x:c r="O86" s="1" t="s">
        <x:v>24</x:v>
      </x:c>
      <x:c r="P86" s="1" t="s">
        <x:v>30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26</x:v>
      </x:c>
      <x:c r="G87" s="1" t="s">
        <x:v>20</x:v>
      </x:c>
      <x:c r="H87" s="1" t="s">
        <x:v>27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1" t="s">
        <x:v>131</x:v>
      </x:c>
      <x:c r="G88" s="1" t="s">
        <x:v>20</x:v>
      </x:c>
      <x:c r="H88" s="1" t="s">
        <x:v>132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133</x:v>
      </x:c>
      <x:c r="G89" s="1" t="s">
        <x:v>20</x:v>
      </x:c>
      <x:c r="H89" s="1" t="s">
        <x:v>134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20</x:v>
      </x:c>
      <x:c r="F90" s="1" t="s">
        <x:v>135</x:v>
      </x:c>
      <x:c r="G90" s="1" t="s">
        <x:v>20</x:v>
      </x:c>
      <x:c r="H90" s="1" t="s">
        <x:v>136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137</x:v>
      </x:c>
      <x:c r="B91" s="2" t="s">
        <x:v>18</x:v>
      </x:c>
      <x:c r="C91" s="2">
        <x:f>HYPERLINK("https://team-v23u.testit.software/projects/142/tests/333", "каталог-категория")</x:f>
      </x:c>
      <x:c r="D91" s="1" t="s">
        <x:v>19</x:v>
      </x:c>
      <x:c r="E91" s="1" t="s">
        <x:v>20</x:v>
      </x:c>
      <x:c r="F91" s="1" t="s">
        <x:v>20</x:v>
      </x:c>
      <x:c r="G91" s="1" t="s">
        <x:v>20</x:v>
      </x:c>
      <x:c r="H91" s="1" t="s">
        <x:v>20</x:v>
      </x:c>
      <x:c r="I91" s="1" t="s">
        <x:v>20</x:v>
      </x:c>
      <x:c r="J91" s="1" t="s">
        <x:v>20</x:v>
      </x:c>
      <x:c r="K91" s="1" t="s">
        <x:v>20</x:v>
      </x:c>
      <x:c r="L91" s="1" t="s">
        <x:v>21</x:v>
      </x:c>
      <x:c r="M91" s="1" t="s">
        <x:v>22</x:v>
      </x:c>
      <x:c r="N91" s="1" t="s">
        <x:v>138</x:v>
      </x:c>
      <x:c r="O91" s="1" t="s">
        <x:v>24</x:v>
      </x:c>
      <x:c r="P91" s="1" t="s">
        <x:v>30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26</x:v>
      </x:c>
      <x:c r="G92" s="1" t="s">
        <x:v>20</x:v>
      </x:c>
      <x:c r="H92" s="1" t="s">
        <x:v>27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139</x:v>
      </x:c>
      <x:c r="G93" s="1" t="s">
        <x:v>20</x:v>
      </x:c>
      <x:c r="H93" s="1" t="s">
        <x:v>33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140</x:v>
      </x:c>
      <x:c r="G94" s="1" t="s">
        <x:v>20</x:v>
      </x:c>
      <x:c r="H94" s="1" t="s">
        <x:v>141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142</x:v>
      </x:c>
      <x:c r="G95" s="1" t="s">
        <x:v>20</x:v>
      </x:c>
      <x:c r="H95" s="1" t="s">
        <x:v>143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144</x:v>
      </x:c>
      <x:c r="B96" s="2" t="s">
        <x:v>18</x:v>
      </x:c>
      <x:c r="C96" s="2">
        <x:f>HYPERLINK("https://team-v23u.testit.software/projects/142/tests/334", "каталог-категория-подкатегория")</x:f>
      </x:c>
      <x:c r="D96" s="1" t="s">
        <x:v>19</x:v>
      </x:c>
      <x:c r="E96" s="1" t="s">
        <x:v>20</x:v>
      </x:c>
      <x:c r="F96" s="1" t="s">
        <x:v>20</x:v>
      </x:c>
      <x:c r="G96" s="1" t="s">
        <x:v>20</x:v>
      </x:c>
      <x:c r="H96" s="1" t="s">
        <x:v>20</x:v>
      </x:c>
      <x:c r="I96" s="1" t="s">
        <x:v>20</x:v>
      </x:c>
      <x:c r="J96" s="1" t="s">
        <x:v>20</x:v>
      </x:c>
      <x:c r="K96" s="1" t="s">
        <x:v>20</x:v>
      </x:c>
      <x:c r="L96" s="1" t="s">
        <x:v>21</x:v>
      </x:c>
      <x:c r="M96" s="1" t="s">
        <x:v>22</x:v>
      </x:c>
      <x:c r="N96" s="1" t="s">
        <x:v>145</x:v>
      </x:c>
      <x:c r="O96" s="1" t="s">
        <x:v>24</x:v>
      </x:c>
      <x:c r="P96" s="1" t="s">
        <x:v>146</x:v>
      </x:c>
      <x:c r="Q96" s="1" t="s">
        <x:v>20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20</x:v>
      </x:c>
      <x:c r="F97" s="1" t="s">
        <x:v>26</x:v>
      </x:c>
      <x:c r="G97" s="1" t="s">
        <x:v>20</x:v>
      </x:c>
      <x:c r="H97" s="1" t="s">
        <x:v>27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139</x:v>
      </x:c>
      <x:c r="G98" s="1" t="s">
        <x:v>20</x:v>
      </x:c>
      <x:c r="H98" s="1" t="s">
        <x:v>33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140</x:v>
      </x:c>
      <x:c r="G99" s="1" t="s">
        <x:v>20</x:v>
      </x:c>
      <x:c r="H99" s="1" t="s">
        <x:v>141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147</x:v>
      </x:c>
      <x:c r="G100" s="1" t="s">
        <x:v>20</x:v>
      </x:c>
      <x:c r="H100" s="1" t="s">
        <x:v>148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149</x:v>
      </x:c>
      <x:c r="G101" s="1" t="s">
        <x:v>20</x:v>
      </x:c>
      <x:c r="H101" s="1" t="s">
        <x:v>150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151</x:v>
      </x:c>
      <x:c r="B102" s="2" t="s">
        <x:v>18</x:v>
      </x:c>
      <x:c r="C102" s="2">
        <x:f>HYPERLINK("https://team-v23u.testit.software/projects/142/tests/542", "Копия лого ")</x:f>
      </x:c>
      <x:c r="D102" s="1" t="s">
        <x:v>19</x:v>
      </x:c>
      <x:c r="E102" s="1" t="s">
        <x:v>20</x:v>
      </x:c>
      <x:c r="F102" s="1" t="s">
        <x:v>20</x:v>
      </x:c>
      <x:c r="G102" s="1" t="s">
        <x:v>20</x:v>
      </x:c>
      <x:c r="H102" s="1" t="s">
        <x:v>20</x:v>
      </x:c>
      <x:c r="I102" s="1" t="s">
        <x:v>20</x:v>
      </x:c>
      <x:c r="J102" s="1" t="s">
        <x:v>20</x:v>
      </x:c>
      <x:c r="K102" s="1" t="s">
        <x:v>20</x:v>
      </x:c>
      <x:c r="L102" s="1" t="s">
        <x:v>152</x:v>
      </x:c>
      <x:c r="M102" s="1" t="s">
        <x:v>22</x:v>
      </x:c>
      <x:c r="N102" s="1" t="s">
        <x:v>153</x:v>
      </x:c>
      <x:c r="O102" s="1" t="s">
        <x:v>24</x:v>
      </x:c>
      <x:c r="P102" s="1" t="s">
        <x:v>30</x:v>
      </x:c>
      <x:c r="Q102" s="1" t="s">
        <x:v>31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20</x:v>
      </x:c>
      <x:c r="F103" s="1" t="s">
        <x:v>26</x:v>
      </x:c>
      <x:c r="G103" s="1" t="s">
        <x:v>20</x:v>
      </x:c>
      <x:c r="H103" s="1" t="s">
        <x:v>27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1" t="s">
        <x:v>32</x:v>
      </x:c>
      <x:c r="G104" s="1" t="s">
        <x:v>20</x:v>
      </x:c>
      <x:c r="H104" s="1" t="s">
        <x:v>33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154</x:v>
      </x:c>
      <x:c r="G105" s="1" t="s">
        <x:v>20</x:v>
      </x:c>
      <x:c r="H105" s="1" t="s">
        <x:v>155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20</x:v>
      </x:c>
      <x:c r="F106" s="1" t="s">
        <x:v>34</x:v>
      </x:c>
      <x:c r="G106" s="1" t="s">
        <x:v>20</x:v>
      </x:c>
      <x:c r="H106" s="1" t="s">
        <x:v>35</x:v>
      </x:c>
      <x:c r="I106" s="1" t="s">
        <x:v>20</x:v>
      </x:c>
      <x:c r="J106" s="1" t="s">
        <x:v>20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156</x:v>
      </x:c>
      <x:c r="B107" s="2" t="s">
        <x:v>18</x:v>
      </x:c>
      <x:c r="C107" s="2">
        <x:f>HYPERLINK("https://team-v23u.testit.software/projects/142/tests/543", "Копия главная")</x:f>
      </x:c>
      <x:c r="D107" s="1" t="s">
        <x:v>19</x:v>
      </x:c>
      <x:c r="E107" s="1" t="s">
        <x:v>20</x:v>
      </x:c>
      <x:c r="F107" s="1" t="s">
        <x:v>20</x:v>
      </x:c>
      <x:c r="G107" s="1" t="s">
        <x:v>20</x:v>
      </x:c>
      <x:c r="H107" s="1" t="s">
        <x:v>20</x:v>
      </x:c>
      <x:c r="I107" s="1" t="s">
        <x:v>20</x:v>
      </x:c>
      <x:c r="J107" s="1" t="s">
        <x:v>20</x:v>
      </x:c>
      <x:c r="K107" s="1" t="s">
        <x:v>20</x:v>
      </x:c>
      <x:c r="L107" s="1" t="s">
        <x:v>152</x:v>
      </x:c>
      <x:c r="M107" s="1" t="s">
        <x:v>22</x:v>
      </x:c>
      <x:c r="N107" s="1" t="s">
        <x:v>157</x:v>
      </x:c>
      <x:c r="O107" s="1" t="s">
        <x:v>24</x:v>
      </x:c>
      <x:c r="P107" s="1" t="s">
        <x:v>30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20</x:v>
      </x:c>
      <x:c r="F108" s="1" t="s">
        <x:v>26</x:v>
      </x:c>
      <x:c r="G108" s="1" t="s">
        <x:v>20</x:v>
      </x:c>
      <x:c r="H108" s="1" t="s">
        <x:v>27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1" t="s">
        <x:v>38</x:v>
      </x:c>
      <x:c r="G109" s="1" t="s">
        <x:v>20</x:v>
      </x:c>
      <x:c r="H109" s="1" t="s">
        <x:v>39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40</x:v>
      </x:c>
      <x:c r="G110" s="1" t="s">
        <x:v>20</x:v>
      </x:c>
      <x:c r="H110" s="1" t="s">
        <x:v>35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20</x:v>
      </x:c>
      <x:c r="F111" s="1" t="s">
        <x:v>158</x:v>
      </x:c>
      <x:c r="G111" s="1" t="s">
        <x:v>20</x:v>
      </x:c>
      <x:c r="H111" s="1" t="s">
        <x:v>159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  <x:row r="112" spans="1:17">
      <x:c r="A112" s="1" t="s">
        <x:v>160</x:v>
      </x:c>
      <x:c r="B112" s="2" t="s">
        <x:v>18</x:v>
      </x:c>
      <x:c r="C112" s="2">
        <x:f>HYPERLINK("https://team-v23u.testit.software/projects/142/tests/544", "Копия заказ")</x:f>
      </x:c>
      <x:c r="D112" s="1" t="s">
        <x:v>19</x:v>
      </x:c>
      <x:c r="E112" s="1" t="s">
        <x:v>20</x:v>
      </x:c>
      <x:c r="F112" s="1" t="s">
        <x:v>20</x:v>
      </x:c>
      <x:c r="G112" s="1" t="s">
        <x:v>20</x:v>
      </x:c>
      <x:c r="H112" s="1" t="s">
        <x:v>20</x:v>
      </x:c>
      <x:c r="I112" s="1" t="s">
        <x:v>20</x:v>
      </x:c>
      <x:c r="J112" s="1" t="s">
        <x:v>20</x:v>
      </x:c>
      <x:c r="K112" s="1" t="s">
        <x:v>20</x:v>
      </x:c>
      <x:c r="L112" s="1" t="s">
        <x:v>21</x:v>
      </x:c>
      <x:c r="M112" s="1" t="s">
        <x:v>22</x:v>
      </x:c>
      <x:c r="N112" s="1" t="s">
        <x:v>161</x:v>
      </x:c>
      <x:c r="O112" s="1" t="s">
        <x:v>24</x:v>
      </x:c>
      <x:c r="P112" s="1" t="s">
        <x:v>30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1" t="s">
        <x:v>26</x:v>
      </x:c>
      <x:c r="G113" s="1" t="s">
        <x:v>20</x:v>
      </x:c>
      <x:c r="H113" s="1" t="s">
        <x:v>27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20</x:v>
      </x:c>
      <x:c r="B114" s="2" t="s">
        <x:v>20</x:v>
      </x:c>
      <x:c r="C114" s="2" t="s">
        <x:v>20</x:v>
      </x:c>
      <x:c r="D114" s="1" t="s">
        <x:v>20</x:v>
      </x:c>
      <x:c r="E114" s="1" t="s">
        <x:v>20</x:v>
      </x:c>
      <x:c r="F114" s="1" t="s">
        <x:v>50</x:v>
      </x:c>
      <x:c r="G114" s="1" t="s">
        <x:v>20</x:v>
      </x:c>
      <x:c r="H114" s="1" t="s">
        <x:v>39</x:v>
      </x:c>
      <x:c r="I114" s="1" t="s">
        <x:v>20</x:v>
      </x:c>
      <x:c r="J114" s="1" t="s">
        <x:v>20</x:v>
      </x:c>
      <x:c r="K114" s="1" t="s">
        <x:v>20</x:v>
      </x:c>
      <x:c r="L114" s="1" t="s">
        <x:v>20</x:v>
      </x:c>
      <x:c r="M114" s="1" t="s">
        <x:v>20</x:v>
      </x:c>
      <x:c r="N114" s="1" t="s">
        <x:v>20</x:v>
      </x:c>
      <x:c r="O114" s="1" t="s">
        <x:v>20</x:v>
      </x:c>
      <x:c r="P114" s="1" t="s">
        <x:v>20</x:v>
      </x:c>
      <x:c r="Q114" s="1" t="s">
        <x:v>20</x:v>
      </x:c>
    </x:row>
    <x:row r="115" spans="1:17">
      <x:c r="A115" s="1" t="s">
        <x:v>20</x:v>
      </x:c>
      <x:c r="B115" s="2" t="s">
        <x:v>20</x:v>
      </x:c>
      <x:c r="C115" s="2" t="s">
        <x:v>20</x:v>
      </x:c>
      <x:c r="D115" s="1" t="s">
        <x:v>20</x:v>
      </x:c>
      <x:c r="E115" s="1" t="s">
        <x:v>20</x:v>
      </x:c>
      <x:c r="F115" s="1" t="s">
        <x:v>51</x:v>
      </x:c>
      <x:c r="G115" s="1" t="s">
        <x:v>20</x:v>
      </x:c>
      <x:c r="H115" s="1" t="s">
        <x:v>52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20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20</x:v>
      </x:c>
      <x:c r="F116" s="1" t="s">
        <x:v>162</x:v>
      </x:c>
      <x:c r="G116" s="1" t="s">
        <x:v>20</x:v>
      </x:c>
      <x:c r="H116" s="1" t="s">
        <x:v>163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164</x:v>
      </x:c>
      <x:c r="B117" s="2" t="s">
        <x:v>18</x:v>
      </x:c>
      <x:c r="C117" s="2">
        <x:f>HYPERLINK("https://team-v23u.testit.software/projects/142/tests/545", "Копия оплата")</x:f>
      </x:c>
      <x:c r="D117" s="1" t="s">
        <x:v>19</x:v>
      </x:c>
      <x:c r="E117" s="1" t="s">
        <x:v>20</x:v>
      </x:c>
      <x:c r="F117" s="1" t="s">
        <x:v>20</x:v>
      </x:c>
      <x:c r="G117" s="1" t="s">
        <x:v>20</x:v>
      </x:c>
      <x:c r="H117" s="1" t="s">
        <x:v>20</x:v>
      </x:c>
      <x:c r="I117" s="1" t="s">
        <x:v>20</x:v>
      </x:c>
      <x:c r="J117" s="1" t="s">
        <x:v>20</x:v>
      </x:c>
      <x:c r="K117" s="1" t="s">
        <x:v>20</x:v>
      </x:c>
      <x:c r="L117" s="1" t="s">
        <x:v>21</x:v>
      </x:c>
      <x:c r="M117" s="1" t="s">
        <x:v>22</x:v>
      </x:c>
      <x:c r="N117" s="1" t="s">
        <x:v>165</x:v>
      </x:c>
      <x:c r="O117" s="1" t="s">
        <x:v>24</x:v>
      </x:c>
      <x:c r="P117" s="1" t="s">
        <x:v>30</x:v>
      </x:c>
      <x:c r="Q117" s="1" t="s">
        <x:v>20</x:v>
      </x:c>
    </x:row>
    <x:row r="118" spans="1:17">
      <x:c r="A118" s="1" t="s">
        <x:v>20</x:v>
      </x:c>
      <x:c r="B118" s="2" t="s">
        <x:v>20</x:v>
      </x:c>
      <x:c r="C118" s="2" t="s">
        <x:v>20</x:v>
      </x:c>
      <x:c r="D118" s="1" t="s">
        <x:v>20</x:v>
      </x:c>
      <x:c r="E118" s="1" t="s">
        <x:v>20</x:v>
      </x:c>
      <x:c r="F118" s="1" t="s">
        <x:v>26</x:v>
      </x:c>
      <x:c r="G118" s="1" t="s">
        <x:v>20</x:v>
      </x:c>
      <x:c r="H118" s="1" t="s">
        <x:v>27</x:v>
      </x:c>
      <x:c r="I118" s="1" t="s">
        <x:v>20</x:v>
      </x:c>
      <x:c r="J118" s="1" t="s">
        <x:v>20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20</x:v>
      </x:c>
      <x:c r="Q118" s="1" t="s">
        <x:v>20</x:v>
      </x:c>
    </x:row>
    <x:row r="119" spans="1:17">
      <x:c r="A119" s="1" t="s">
        <x:v>20</x:v>
      </x:c>
      <x:c r="B119" s="2" t="s">
        <x:v>20</x:v>
      </x:c>
      <x:c r="C119" s="2" t="s">
        <x:v>20</x:v>
      </x:c>
      <x:c r="D119" s="1" t="s">
        <x:v>20</x:v>
      </x:c>
      <x:c r="E119" s="1" t="s">
        <x:v>20</x:v>
      </x:c>
      <x:c r="F119" s="1" t="s">
        <x:v>55</x:v>
      </x:c>
      <x:c r="G119" s="1" t="s">
        <x:v>20</x:v>
      </x:c>
      <x:c r="H119" s="1" t="s">
        <x:v>39</x:v>
      </x:c>
      <x:c r="I119" s="1" t="s">
        <x:v>20</x:v>
      </x:c>
      <x:c r="J119" s="1" t="s">
        <x:v>20</x:v>
      </x:c>
      <x:c r="K119" s="1" t="s">
        <x:v>20</x:v>
      </x:c>
      <x:c r="L119" s="1" t="s">
        <x:v>20</x:v>
      </x:c>
      <x:c r="M119" s="1" t="s">
        <x:v>20</x:v>
      </x:c>
      <x:c r="N119" s="1" t="s">
        <x:v>20</x:v>
      </x:c>
      <x:c r="O119" s="1" t="s">
        <x:v>20</x:v>
      </x:c>
      <x:c r="P119" s="1" t="s">
        <x:v>20</x:v>
      </x:c>
      <x:c r="Q119" s="1" t="s">
        <x:v>20</x:v>
      </x:c>
    </x:row>
    <x:row r="120" spans="1:17">
      <x:c r="A120" s="1" t="s">
        <x:v>20</x:v>
      </x:c>
      <x:c r="B120" s="2" t="s">
        <x:v>20</x:v>
      </x:c>
      <x:c r="C120" s="2" t="s">
        <x:v>20</x:v>
      </x:c>
      <x:c r="D120" s="1" t="s">
        <x:v>20</x:v>
      </x:c>
      <x:c r="E120" s="1" t="s">
        <x:v>20</x:v>
      </x:c>
      <x:c r="F120" s="1" t="s">
        <x:v>56</x:v>
      </x:c>
      <x:c r="G120" s="1" t="s">
        <x:v>20</x:v>
      </x:c>
      <x:c r="H120" s="1" t="s">
        <x:v>57</x:v>
      </x:c>
      <x:c r="I120" s="1" t="s">
        <x:v>20</x:v>
      </x:c>
      <x:c r="J120" s="1" t="s">
        <x:v>20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20</x:v>
      </x:c>
      <x:c r="F121" s="1" t="s">
        <x:v>166</x:v>
      </x:c>
      <x:c r="G121" s="1" t="s">
        <x:v>20</x:v>
      </x:c>
      <x:c r="H121" s="1" t="s">
        <x:v>167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168</x:v>
      </x:c>
      <x:c r="B122" s="2" t="s">
        <x:v>18</x:v>
      </x:c>
      <x:c r="C122" s="2">
        <x:f>HYPERLINK("https://team-v23u.testit.software/projects/142/tests/546", "Копия получение")</x:f>
      </x:c>
      <x:c r="D122" s="1" t="s">
        <x:v>19</x:v>
      </x:c>
      <x:c r="E122" s="1" t="s">
        <x:v>20</x:v>
      </x:c>
      <x:c r="F122" s="1" t="s">
        <x:v>20</x:v>
      </x:c>
      <x:c r="G122" s="1" t="s">
        <x:v>20</x:v>
      </x:c>
      <x:c r="H122" s="1" t="s">
        <x:v>20</x:v>
      </x:c>
      <x:c r="I122" s="1" t="s">
        <x:v>20</x:v>
      </x:c>
      <x:c r="J122" s="1" t="s">
        <x:v>20</x:v>
      </x:c>
      <x:c r="K122" s="1" t="s">
        <x:v>20</x:v>
      </x:c>
      <x:c r="L122" s="1" t="s">
        <x:v>21</x:v>
      </x:c>
      <x:c r="M122" s="1" t="s">
        <x:v>22</x:v>
      </x:c>
      <x:c r="N122" s="1" t="s">
        <x:v>169</x:v>
      </x:c>
      <x:c r="O122" s="1" t="s">
        <x:v>24</x:v>
      </x:c>
      <x:c r="P122" s="1" t="s">
        <x:v>30</x:v>
      </x:c>
      <x:c r="Q122" s="1" t="s">
        <x:v>20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20</x:v>
      </x:c>
      <x:c r="F123" s="1" t="s">
        <x:v>26</x:v>
      </x:c>
      <x:c r="G123" s="1" t="s">
        <x:v>20</x:v>
      </x:c>
      <x:c r="H123" s="1" t="s">
        <x:v>27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20</x:v>
      </x:c>
      <x:c r="B124" s="2" t="s">
        <x:v>20</x:v>
      </x:c>
      <x:c r="C124" s="2" t="s">
        <x:v>20</x:v>
      </x:c>
      <x:c r="D124" s="1" t="s">
        <x:v>20</x:v>
      </x:c>
      <x:c r="E124" s="1" t="s">
        <x:v>20</x:v>
      </x:c>
      <x:c r="F124" s="1" t="s">
        <x:v>60</x:v>
      </x:c>
      <x:c r="G124" s="1" t="s">
        <x:v>20</x:v>
      </x:c>
      <x:c r="H124" s="1" t="s">
        <x:v>39</x:v>
      </x:c>
      <x:c r="I124" s="1" t="s">
        <x:v>20</x:v>
      </x:c>
      <x:c r="J124" s="1" t="s">
        <x:v>20</x:v>
      </x:c>
      <x:c r="K124" s="1" t="s">
        <x:v>20</x:v>
      </x:c>
      <x:c r="L124" s="1" t="s">
        <x:v>20</x:v>
      </x:c>
      <x:c r="M124" s="1" t="s">
        <x:v>20</x:v>
      </x:c>
      <x:c r="N124" s="1" t="s">
        <x:v>20</x:v>
      </x:c>
      <x:c r="O124" s="1" t="s">
        <x:v>20</x:v>
      </x:c>
      <x:c r="P124" s="1" t="s">
        <x:v>20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56</x:v>
      </x:c>
      <x:c r="G125" s="1" t="s">
        <x:v>20</x:v>
      </x:c>
      <x:c r="H125" s="1" t="s">
        <x:v>61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20</x:v>
      </x:c>
      <x:c r="B126" s="2" t="s">
        <x:v>20</x:v>
      </x:c>
      <x:c r="C126" s="2" t="s">
        <x:v>20</x:v>
      </x:c>
      <x:c r="D126" s="1" t="s">
        <x:v>20</x:v>
      </x:c>
      <x:c r="E126" s="1" t="s">
        <x:v>20</x:v>
      </x:c>
      <x:c r="F126" s="1" t="s">
        <x:v>170</x:v>
      </x:c>
      <x:c r="G126" s="1" t="s">
        <x:v>20</x:v>
      </x:c>
      <x:c r="H126" s="1" t="s">
        <x:v>171</x:v>
      </x:c>
      <x:c r="I126" s="1" t="s">
        <x:v>20</x:v>
      </x:c>
      <x:c r="J126" s="1" t="s">
        <x:v>20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20</x:v>
      </x:c>
      <x:c r="Q126" s="1" t="s">
        <x:v>20</x:v>
      </x:c>
    </x:row>
    <x:row r="127" spans="1:17">
      <x:c r="A127" s="1" t="s">
        <x:v>172</x:v>
      </x:c>
      <x:c r="B127" s="2" t="s">
        <x:v>18</x:v>
      </x:c>
      <x:c r="C127" s="2">
        <x:f>HYPERLINK("https://team-v23u.testit.software/projects/142/tests/547", "Копия гарантия и возврат")</x:f>
      </x:c>
      <x:c r="D127" s="1" t="s">
        <x:v>19</x:v>
      </x:c>
      <x:c r="E127" s="1" t="s">
        <x:v>20</x:v>
      </x:c>
      <x:c r="F127" s="1" t="s">
        <x:v>20</x:v>
      </x:c>
      <x:c r="G127" s="1" t="s">
        <x:v>20</x:v>
      </x:c>
      <x:c r="H127" s="1" t="s">
        <x:v>20</x:v>
      </x:c>
      <x:c r="I127" s="1" t="s">
        <x:v>20</x:v>
      </x:c>
      <x:c r="J127" s="1" t="s">
        <x:v>20</x:v>
      </x:c>
      <x:c r="K127" s="1" t="s">
        <x:v>20</x:v>
      </x:c>
      <x:c r="L127" s="1" t="s">
        <x:v>21</x:v>
      </x:c>
      <x:c r="M127" s="1" t="s">
        <x:v>22</x:v>
      </x:c>
      <x:c r="N127" s="1" t="s">
        <x:v>173</x:v>
      </x:c>
      <x:c r="O127" s="1" t="s">
        <x:v>24</x:v>
      </x:c>
      <x:c r="P127" s="1" t="s">
        <x:v>30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</x:v>
      </x:c>
      <x:c r="F128" s="1" t="s">
        <x:v>26</x:v>
      </x:c>
      <x:c r="G128" s="1" t="s">
        <x:v>20</x:v>
      </x:c>
      <x:c r="H128" s="1" t="s">
        <x:v>27</x:v>
      </x:c>
      <x:c r="I128" s="1" t="s">
        <x:v>20</x:v>
      </x:c>
      <x:c r="J128" s="1" t="s">
        <x:v>20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20</x:v>
      </x:c>
      <x:c r="B129" s="2" t="s">
        <x:v>20</x:v>
      </x:c>
      <x:c r="C129" s="2" t="s">
        <x:v>20</x:v>
      </x:c>
      <x:c r="D129" s="1" t="s">
        <x:v>20</x:v>
      </x:c>
      <x:c r="E129" s="1" t="s">
        <x:v>20</x:v>
      </x:c>
      <x:c r="F129" s="1" t="s">
        <x:v>64</x:v>
      </x:c>
      <x:c r="G129" s="1" t="s">
        <x:v>20</x:v>
      </x:c>
      <x:c r="H129" s="1" t="s">
        <x:v>39</x:v>
      </x:c>
      <x:c r="I129" s="1" t="s">
        <x:v>20</x:v>
      </x:c>
      <x:c r="J129" s="1" t="s">
        <x:v>20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20</x:v>
      </x:c>
      <x:c r="Q129" s="1" t="s">
        <x:v>20</x:v>
      </x:c>
    </x:row>
    <x:row r="130" spans="1:17">
      <x:c r="A130" s="1" t="s">
        <x:v>20</x:v>
      </x:c>
      <x:c r="B130" s="2" t="s">
        <x:v>20</x:v>
      </x:c>
      <x:c r="C130" s="2" t="s">
        <x:v>20</x:v>
      </x:c>
      <x:c r="D130" s="1" t="s">
        <x:v>20</x:v>
      </x:c>
      <x:c r="E130" s="1" t="s">
        <x:v>20</x:v>
      </x:c>
      <x:c r="F130" s="1" t="s">
        <x:v>56</x:v>
      </x:c>
      <x:c r="G130" s="1" t="s">
        <x:v>20</x:v>
      </x:c>
      <x:c r="H130" s="1" t="s">
        <x:v>65</x:v>
      </x:c>
      <x:c r="I130" s="1" t="s">
        <x:v>20</x:v>
      </x:c>
      <x:c r="J130" s="1" t="s">
        <x:v>20</x:v>
      </x:c>
      <x:c r="K130" s="1" t="s">
        <x:v>20</x:v>
      </x:c>
      <x:c r="L130" s="1" t="s">
        <x:v>20</x:v>
      </x:c>
      <x:c r="M130" s="1" t="s">
        <x:v>20</x:v>
      </x:c>
      <x:c r="N130" s="1" t="s">
        <x:v>20</x:v>
      </x:c>
      <x:c r="O130" s="1" t="s">
        <x:v>20</x:v>
      </x:c>
      <x:c r="P130" s="1" t="s">
        <x:v>20</x:v>
      </x:c>
      <x:c r="Q130" s="1" t="s">
        <x:v>20</x:v>
      </x:c>
    </x:row>
    <x:row r="131" spans="1:17">
      <x:c r="A131" s="1" t="s">
        <x:v>20</x:v>
      </x:c>
      <x:c r="B131" s="2" t="s">
        <x:v>20</x:v>
      </x:c>
      <x:c r="C131" s="2" t="s">
        <x:v>20</x:v>
      </x:c>
      <x:c r="D131" s="1" t="s">
        <x:v>20</x:v>
      </x:c>
      <x:c r="E131" s="1" t="s">
        <x:v>20</x:v>
      </x:c>
      <x:c r="F131" s="1" t="s">
        <x:v>174</x:v>
      </x:c>
      <x:c r="G131" s="1" t="s">
        <x:v>20</x:v>
      </x:c>
      <x:c r="H131" s="1" t="s">
        <x:v>175</x:v>
      </x:c>
      <x:c r="I131" s="1" t="s">
        <x:v>20</x:v>
      </x:c>
      <x:c r="J131" s="1" t="s">
        <x:v>20</x:v>
      </x:c>
      <x:c r="K131" s="1" t="s">
        <x:v>20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20</x:v>
      </x:c>
      <x:c r="Q131" s="1" t="s">
        <x:v>20</x:v>
      </x:c>
    </x:row>
    <x:row r="132" spans="1:17">
      <x:c r="A132" s="1" t="s">
        <x:v>176</x:v>
      </x:c>
      <x:c r="B132" s="2" t="s">
        <x:v>18</x:v>
      </x:c>
      <x:c r="C132" s="2">
        <x:f>HYPERLINK("https://team-v23u.testit.software/projects/142/tests/548", "Копия прочее")</x:f>
      </x:c>
      <x:c r="D132" s="1" t="s">
        <x:v>19</x:v>
      </x:c>
      <x:c r="E132" s="1" t="s">
        <x:v>20</x:v>
      </x:c>
      <x:c r="F132" s="1" t="s">
        <x:v>20</x:v>
      </x:c>
      <x:c r="G132" s="1" t="s">
        <x:v>20</x:v>
      </x:c>
      <x:c r="H132" s="1" t="s">
        <x:v>20</x:v>
      </x:c>
      <x:c r="I132" s="1" t="s">
        <x:v>20</x:v>
      </x:c>
      <x:c r="J132" s="1" t="s">
        <x:v>20</x:v>
      </x:c>
      <x:c r="K132" s="1" t="s">
        <x:v>20</x:v>
      </x:c>
      <x:c r="L132" s="1" t="s">
        <x:v>21</x:v>
      </x:c>
      <x:c r="M132" s="1" t="s">
        <x:v>22</x:v>
      </x:c>
      <x:c r="N132" s="1" t="s">
        <x:v>177</x:v>
      </x:c>
      <x:c r="O132" s="1" t="s">
        <x:v>24</x:v>
      </x:c>
      <x:c r="P132" s="1" t="s">
        <x:v>30</x:v>
      </x:c>
      <x:c r="Q132" s="1" t="s">
        <x:v>20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20</x:v>
      </x:c>
      <x:c r="F133" s="1" t="s">
        <x:v>26</x:v>
      </x:c>
      <x:c r="G133" s="1" t="s">
        <x:v>20</x:v>
      </x:c>
      <x:c r="H133" s="1" t="s">
        <x:v>27</x:v>
      </x:c>
      <x:c r="I133" s="1" t="s">
        <x:v>20</x:v>
      </x:c>
      <x:c r="J133" s="1" t="s">
        <x:v>20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20</x:v>
      </x:c>
      <x:c r="B134" s="2" t="s">
        <x:v>20</x:v>
      </x:c>
      <x:c r="C134" s="2" t="s">
        <x:v>20</x:v>
      </x:c>
      <x:c r="D134" s="1" t="s">
        <x:v>20</x:v>
      </x:c>
      <x:c r="E134" s="1" t="s">
        <x:v>20</x:v>
      </x:c>
      <x:c r="F134" s="1" t="s">
        <x:v>68</x:v>
      </x:c>
      <x:c r="G134" s="1" t="s">
        <x:v>20</x:v>
      </x:c>
      <x:c r="H134" s="1" t="s">
        <x:v>69</x:v>
      </x:c>
      <x:c r="I134" s="1" t="s">
        <x:v>20</x:v>
      </x:c>
      <x:c r="J134" s="1" t="s">
        <x:v>20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20</x:v>
      </x:c>
      <x:c r="Q134" s="1" t="s">
        <x:v>20</x:v>
      </x:c>
    </x:row>
    <x:row r="135" spans="1:17">
      <x:c r="A135" s="1" t="s">
        <x:v>20</x:v>
      </x:c>
      <x:c r="B135" s="2" t="s">
        <x:v>20</x:v>
      </x:c>
      <x:c r="C135" s="2" t="s">
        <x:v>20</x:v>
      </x:c>
      <x:c r="D135" s="1" t="s">
        <x:v>20</x:v>
      </x:c>
      <x:c r="E135" s="1" t="s">
        <x:v>20</x:v>
      </x:c>
      <x:c r="F135" s="1" t="s">
        <x:v>70</x:v>
      </x:c>
      <x:c r="G135" s="1" t="s">
        <x:v>20</x:v>
      </x:c>
      <x:c r="H135" s="1" t="s">
        <x:v>71</x:v>
      </x:c>
      <x:c r="I135" s="1" t="s">
        <x:v>20</x:v>
      </x:c>
      <x:c r="J135" s="1" t="s">
        <x:v>20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20</x:v>
      </x:c>
      <x:c r="Q135" s="1" t="s">
        <x:v>20</x:v>
      </x:c>
    </x:row>
    <x:row r="136" spans="1:17">
      <x:c r="A136" s="1" t="s">
        <x:v>20</x:v>
      </x:c>
      <x:c r="B136" s="2" t="s">
        <x:v>20</x:v>
      </x:c>
      <x:c r="C136" s="2" t="s">
        <x:v>20</x:v>
      </x:c>
      <x:c r="D136" s="1" t="s">
        <x:v>20</x:v>
      </x:c>
      <x:c r="E136" s="1" t="s">
        <x:v>20</x:v>
      </x:c>
      <x:c r="F136" s="1" t="s">
        <x:v>72</x:v>
      </x:c>
      <x:c r="G136" s="1" t="s">
        <x:v>20</x:v>
      </x:c>
      <x:c r="H136" s="1" t="s">
        <x:v>73</x:v>
      </x:c>
      <x:c r="I136" s="1" t="s">
        <x:v>20</x:v>
      </x:c>
      <x:c r="J136" s="1" t="s">
        <x:v>20</x:v>
      </x:c>
      <x:c r="K136" s="1" t="s">
        <x:v>20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20</x:v>
      </x:c>
      <x:c r="Q136" s="1" t="s">
        <x:v>20</x:v>
      </x:c>
    </x:row>
    <x:row r="137" spans="1:17">
      <x:c r="A137" s="1" t="s">
        <x:v>20</x:v>
      </x:c>
      <x:c r="B137" s="2" t="s">
        <x:v>20</x:v>
      </x:c>
      <x:c r="C137" s="2" t="s">
        <x:v>20</x:v>
      </x:c>
      <x:c r="D137" s="1" t="s">
        <x:v>20</x:v>
      </x:c>
      <x:c r="E137" s="1" t="s">
        <x:v>20</x:v>
      </x:c>
      <x:c r="F137" s="1" t="s">
        <x:v>178</x:v>
      </x:c>
      <x:c r="G137" s="1" t="s">
        <x:v>20</x:v>
      </x:c>
      <x:c r="H137" s="1" t="s">
        <x:v>179</x:v>
      </x:c>
      <x:c r="I137" s="1" t="s">
        <x:v>20</x:v>
      </x:c>
      <x:c r="J137" s="1" t="s">
        <x:v>20</x:v>
      </x:c>
      <x:c r="K137" s="1" t="s">
        <x:v>20</x:v>
      </x:c>
      <x:c r="L137" s="1" t="s">
        <x:v>20</x:v>
      </x:c>
      <x:c r="M137" s="1" t="s">
        <x:v>20</x:v>
      </x:c>
      <x:c r="N137" s="1" t="s">
        <x:v>20</x:v>
      </x:c>
      <x:c r="O137" s="1" t="s">
        <x:v>20</x:v>
      </x:c>
      <x:c r="P137" s="1" t="s">
        <x:v>20</x:v>
      </x:c>
      <x:c r="Q137" s="1" t="s">
        <x:v>20</x:v>
      </x:c>
    </x:row>
    <x:row r="138" spans="1:17">
      <x:c r="A138" s="1" t="s">
        <x:v>180</x:v>
      </x:c>
      <x:c r="B138" s="2" t="s">
        <x:v>18</x:v>
      </x:c>
      <x:c r="C138" s="2">
        <x:f>HYPERLINK("https://team-v23u.testit.software/projects/142/tests/549", "Копия адреса и контакты")</x:f>
      </x:c>
      <x:c r="D138" s="1" t="s">
        <x:v>19</x:v>
      </x:c>
      <x:c r="E138" s="1" t="s">
        <x:v>20</x:v>
      </x:c>
      <x:c r="F138" s="1" t="s">
        <x:v>20</x:v>
      </x:c>
      <x:c r="G138" s="1" t="s">
        <x:v>20</x:v>
      </x:c>
      <x:c r="H138" s="1" t="s">
        <x:v>20</x:v>
      </x:c>
      <x:c r="I138" s="1" t="s">
        <x:v>20</x:v>
      </x:c>
      <x:c r="J138" s="1" t="s">
        <x:v>20</x:v>
      </x:c>
      <x:c r="K138" s="1" t="s">
        <x:v>20</x:v>
      </x:c>
      <x:c r="L138" s="1" t="s">
        <x:v>21</x:v>
      </x:c>
      <x:c r="M138" s="1" t="s">
        <x:v>22</x:v>
      </x:c>
      <x:c r="N138" s="1" t="s">
        <x:v>181</x:v>
      </x:c>
      <x:c r="O138" s="1" t="s">
        <x:v>24</x:v>
      </x:c>
      <x:c r="P138" s="1" t="s">
        <x:v>30</x:v>
      </x:c>
      <x:c r="Q138" s="1" t="s">
        <x:v>20</x:v>
      </x:c>
    </x:row>
    <x:row r="139" spans="1:17">
      <x:c r="A139" s="1" t="s">
        <x:v>20</x:v>
      </x:c>
      <x:c r="B139" s="2" t="s">
        <x:v>20</x:v>
      </x:c>
      <x:c r="C139" s="2" t="s">
        <x:v>20</x:v>
      </x:c>
      <x:c r="D139" s="1" t="s">
        <x:v>20</x:v>
      </x:c>
      <x:c r="E139" s="1" t="s">
        <x:v>20</x:v>
      </x:c>
      <x:c r="F139" s="1" t="s">
        <x:v>26</x:v>
      </x:c>
      <x:c r="G139" s="1" t="s">
        <x:v>20</x:v>
      </x:c>
      <x:c r="H139" s="1" t="s">
        <x:v>27</x:v>
      </x:c>
      <x:c r="I139" s="1" t="s">
        <x:v>20</x:v>
      </x:c>
      <x:c r="J139" s="1" t="s">
        <x:v>20</x:v>
      </x:c>
      <x:c r="K139" s="1" t="s">
        <x:v>20</x:v>
      </x:c>
      <x:c r="L139" s="1" t="s">
        <x:v>20</x:v>
      </x:c>
      <x:c r="M139" s="1" t="s">
        <x:v>20</x:v>
      </x:c>
      <x:c r="N139" s="1" t="s">
        <x:v>20</x:v>
      </x:c>
      <x:c r="O139" s="1" t="s">
        <x:v>20</x:v>
      </x:c>
      <x:c r="P139" s="1" t="s">
        <x:v>20</x:v>
      </x:c>
      <x:c r="Q139" s="1" t="s">
        <x:v>20</x:v>
      </x:c>
    </x:row>
    <x:row r="140" spans="1:17">
      <x:c r="A140" s="1" t="s">
        <x:v>20</x:v>
      </x:c>
      <x:c r="B140" s="2" t="s">
        <x:v>20</x:v>
      </x:c>
      <x:c r="C140" s="2" t="s">
        <x:v>20</x:v>
      </x:c>
      <x:c r="D140" s="1" t="s">
        <x:v>20</x:v>
      </x:c>
      <x:c r="E140" s="1" t="s">
        <x:v>20</x:v>
      </x:c>
      <x:c r="F140" s="1" t="s">
        <x:v>43</x:v>
      </x:c>
      <x:c r="G140" s="1" t="s">
        <x:v>20</x:v>
      </x:c>
      <x:c r="H140" s="1" t="s">
        <x:v>39</x:v>
      </x:c>
      <x:c r="I140" s="1" t="s">
        <x:v>20</x:v>
      </x:c>
      <x:c r="J140" s="1" t="s">
        <x:v>20</x:v>
      </x:c>
      <x:c r="K140" s="1" t="s">
        <x:v>20</x:v>
      </x:c>
      <x:c r="L140" s="1" t="s">
        <x:v>20</x:v>
      </x:c>
      <x:c r="M140" s="1" t="s">
        <x:v>20</x:v>
      </x:c>
      <x:c r="N140" s="1" t="s">
        <x:v>20</x:v>
      </x:c>
      <x:c r="O140" s="1" t="s">
        <x:v>20</x:v>
      </x:c>
      <x:c r="P140" s="1" t="s">
        <x:v>20</x:v>
      </x:c>
      <x:c r="Q140" s="1" t="s">
        <x:v>20</x:v>
      </x:c>
    </x:row>
    <x:row r="141" spans="1:17">
      <x:c r="A141" s="1" t="s">
        <x:v>20</x:v>
      </x:c>
      <x:c r="B141" s="2" t="s">
        <x:v>20</x:v>
      </x:c>
      <x:c r="C141" s="2" t="s">
        <x:v>20</x:v>
      </x:c>
      <x:c r="D141" s="1" t="s">
        <x:v>20</x:v>
      </x:c>
      <x:c r="E141" s="1" t="s">
        <x:v>20</x:v>
      </x:c>
      <x:c r="F141" s="1" t="s">
        <x:v>44</x:v>
      </x:c>
      <x:c r="G141" s="1" t="s">
        <x:v>20</x:v>
      </x:c>
      <x:c r="H141" s="1" t="s">
        <x:v>45</x:v>
      </x:c>
      <x:c r="I141" s="1" t="s">
        <x:v>20</x:v>
      </x:c>
      <x:c r="J141" s="1" t="s">
        <x:v>20</x:v>
      </x:c>
      <x:c r="K141" s="1" t="s">
        <x:v>20</x:v>
      </x:c>
      <x:c r="L141" s="1" t="s">
        <x:v>20</x:v>
      </x:c>
      <x:c r="M141" s="1" t="s">
        <x:v>20</x:v>
      </x:c>
      <x:c r="N141" s="1" t="s">
        <x:v>20</x:v>
      </x:c>
      <x:c r="O141" s="1" t="s">
        <x:v>20</x:v>
      </x:c>
      <x:c r="P141" s="1" t="s">
        <x:v>20</x:v>
      </x:c>
      <x:c r="Q141" s="1" t="s">
        <x:v>20</x:v>
      </x:c>
    </x:row>
    <x:row r="142" spans="1:17">
      <x:c r="A142" s="1" t="s">
        <x:v>20</x:v>
      </x:c>
      <x:c r="B142" s="2" t="s">
        <x:v>20</x:v>
      </x:c>
      <x:c r="C142" s="2" t="s">
        <x:v>20</x:v>
      </x:c>
      <x:c r="D142" s="1" t="s">
        <x:v>20</x:v>
      </x:c>
      <x:c r="E142" s="1" t="s">
        <x:v>20</x:v>
      </x:c>
      <x:c r="F142" s="1" t="s">
        <x:v>46</x:v>
      </x:c>
      <x:c r="G142" s="1" t="s">
        <x:v>20</x:v>
      </x:c>
      <x:c r="H142" s="1" t="s">
        <x:v>47</x:v>
      </x:c>
      <x:c r="I142" s="1" t="s">
        <x:v>20</x:v>
      </x:c>
      <x:c r="J142" s="1" t="s">
        <x:v>20</x:v>
      </x:c>
      <x:c r="K142" s="1" t="s">
        <x:v>20</x:v>
      </x:c>
      <x:c r="L142" s="1" t="s">
        <x:v>20</x:v>
      </x:c>
      <x:c r="M142" s="1" t="s">
        <x:v>20</x:v>
      </x:c>
      <x:c r="N142" s="1" t="s">
        <x:v>20</x:v>
      </x:c>
      <x:c r="O142" s="1" t="s">
        <x:v>20</x:v>
      </x:c>
      <x:c r="P142" s="1" t="s">
        <x:v>20</x:v>
      </x:c>
      <x:c r="Q142" s="1" t="s">
        <x:v>20</x:v>
      </x:c>
    </x:row>
    <x:row r="143" spans="1:17">
      <x:c r="A143" s="1" t="s">
        <x:v>182</x:v>
      </x:c>
      <x:c r="B143" s="2" t="s">
        <x:v>18</x:v>
      </x:c>
      <x:c r="C143" s="2">
        <x:f>HYPERLINK("https://team-v23u.testit.software/projects/142/tests/550", "Копия адрес")</x:f>
      </x:c>
      <x:c r="D143" s="1" t="s">
        <x:v>19</x:v>
      </x:c>
      <x:c r="E143" s="1" t="s">
        <x:v>20</x:v>
      </x:c>
      <x:c r="F143" s="1" t="s">
        <x:v>20</x:v>
      </x:c>
      <x:c r="G143" s="1" t="s">
        <x:v>20</x:v>
      </x:c>
      <x:c r="H143" s="1" t="s">
        <x:v>20</x:v>
      </x:c>
      <x:c r="I143" s="1" t="s">
        <x:v>20</x:v>
      </x:c>
      <x:c r="J143" s="1" t="s">
        <x:v>20</x:v>
      </x:c>
      <x:c r="K143" s="1" t="s">
        <x:v>20</x:v>
      </x:c>
      <x:c r="L143" s="1" t="s">
        <x:v>21</x:v>
      </x:c>
      <x:c r="M143" s="1" t="s">
        <x:v>22</x:v>
      </x:c>
      <x:c r="N143" s="1" t="s">
        <x:v>183</x:v>
      </x:c>
      <x:c r="O143" s="1" t="s">
        <x:v>24</x:v>
      </x:c>
      <x:c r="P143" s="1" t="s">
        <x:v>30</x:v>
      </x:c>
      <x:c r="Q143" s="1" t="s">
        <x:v>20</x:v>
      </x:c>
    </x:row>
    <x:row r="144" spans="1:17">
      <x:c r="A144" s="1" t="s">
        <x:v>20</x:v>
      </x:c>
      <x:c r="B144" s="2" t="s">
        <x:v>20</x:v>
      </x:c>
      <x:c r="C144" s="2" t="s">
        <x:v>20</x:v>
      </x:c>
      <x:c r="D144" s="1" t="s">
        <x:v>20</x:v>
      </x:c>
      <x:c r="E144" s="1" t="s">
        <x:v>20</x:v>
      </x:c>
      <x:c r="F144" s="1" t="s">
        <x:v>26</x:v>
      </x:c>
      <x:c r="G144" s="1" t="s">
        <x:v>20</x:v>
      </x:c>
      <x:c r="H144" s="1" t="s">
        <x:v>27</x:v>
      </x:c>
      <x:c r="I144" s="1" t="s">
        <x:v>20</x:v>
      </x:c>
      <x:c r="J144" s="1" t="s">
        <x:v>20</x:v>
      </x:c>
      <x:c r="K144" s="1" t="s">
        <x:v>20</x:v>
      </x:c>
      <x:c r="L144" s="1" t="s">
        <x:v>20</x:v>
      </x:c>
      <x:c r="M144" s="1" t="s">
        <x:v>20</x:v>
      </x:c>
      <x:c r="N144" s="1" t="s">
        <x:v>20</x:v>
      </x:c>
      <x:c r="O144" s="1" t="s">
        <x:v>20</x:v>
      </x:c>
      <x:c r="P144" s="1" t="s">
        <x:v>20</x:v>
      </x:c>
      <x:c r="Q144" s="1" t="s">
        <x:v>20</x:v>
      </x:c>
    </x:row>
    <x:row r="145" spans="1:17">
      <x:c r="A145" s="1" t="s">
        <x:v>20</x:v>
      </x:c>
      <x:c r="B145" s="2" t="s">
        <x:v>20</x:v>
      </x:c>
      <x:c r="C145" s="2" t="s">
        <x:v>20</x:v>
      </x:c>
      <x:c r="D145" s="1" t="s">
        <x:v>20</x:v>
      </x:c>
      <x:c r="E145" s="1" t="s">
        <x:v>20</x:v>
      </x:c>
      <x:c r="F145" s="1" t="s">
        <x:v>81</x:v>
      </x:c>
      <x:c r="G145" s="1" t="s">
        <x:v>20</x:v>
      </x:c>
      <x:c r="H145" s="1" t="s">
        <x:v>33</x:v>
      </x:c>
      <x:c r="I145" s="1" t="s">
        <x:v>20</x:v>
      </x:c>
      <x:c r="J145" s="1" t="s">
        <x:v>20</x:v>
      </x:c>
      <x:c r="K145" s="1" t="s">
        <x:v>20</x:v>
      </x:c>
      <x:c r="L145" s="1" t="s">
        <x:v>20</x:v>
      </x:c>
      <x:c r="M145" s="1" t="s">
        <x:v>20</x:v>
      </x:c>
      <x:c r="N145" s="1" t="s">
        <x:v>20</x:v>
      </x:c>
      <x:c r="O145" s="1" t="s">
        <x:v>20</x:v>
      </x:c>
      <x:c r="P145" s="1" t="s">
        <x:v>20</x:v>
      </x:c>
      <x:c r="Q145" s="1" t="s">
        <x:v>20</x:v>
      </x:c>
    </x:row>
    <x:row r="146" spans="1:17">
      <x:c r="A146" s="1" t="s">
        <x:v>20</x:v>
      </x:c>
      <x:c r="B146" s="2" t="s">
        <x:v>20</x:v>
      </x:c>
      <x:c r="C146" s="2" t="s">
        <x:v>20</x:v>
      </x:c>
      <x:c r="D146" s="1" t="s">
        <x:v>20</x:v>
      </x:c>
      <x:c r="E146" s="1" t="s">
        <x:v>20</x:v>
      </x:c>
      <x:c r="F146" s="1" t="s">
        <x:v>56</x:v>
      </x:c>
      <x:c r="G146" s="1" t="s">
        <x:v>20</x:v>
      </x:c>
      <x:c r="H146" s="1" t="s">
        <x:v>82</x:v>
      </x:c>
      <x:c r="I146" s="1" t="s">
        <x:v>20</x:v>
      </x:c>
      <x:c r="J146" s="1" t="s">
        <x:v>20</x:v>
      </x:c>
      <x:c r="K146" s="1" t="s">
        <x:v>20</x:v>
      </x:c>
      <x:c r="L146" s="1" t="s">
        <x:v>20</x:v>
      </x:c>
      <x:c r="M146" s="1" t="s">
        <x:v>20</x:v>
      </x:c>
      <x:c r="N146" s="1" t="s">
        <x:v>20</x:v>
      </x:c>
      <x:c r="O146" s="1" t="s">
        <x:v>20</x:v>
      </x:c>
      <x:c r="P146" s="1" t="s">
        <x:v>20</x:v>
      </x:c>
      <x:c r="Q146" s="1" t="s">
        <x:v>20</x:v>
      </x:c>
    </x:row>
    <x:row r="147" spans="1:17">
      <x:c r="A147" s="1" t="s">
        <x:v>20</x:v>
      </x:c>
      <x:c r="B147" s="2" t="s">
        <x:v>20</x:v>
      </x:c>
      <x:c r="C147" s="2" t="s">
        <x:v>20</x:v>
      </x:c>
      <x:c r="D147" s="1" t="s">
        <x:v>20</x:v>
      </x:c>
      <x:c r="E147" s="1" t="s">
        <x:v>20</x:v>
      </x:c>
      <x:c r="F147" s="1" t="s">
        <x:v>184</x:v>
      </x:c>
      <x:c r="G147" s="1" t="s">
        <x:v>20</x:v>
      </x:c>
      <x:c r="H147" s="1" t="s">
        <x:v>185</x:v>
      </x:c>
      <x:c r="I147" s="1" t="s">
        <x:v>20</x:v>
      </x:c>
      <x:c r="J147" s="1" t="s">
        <x:v>20</x:v>
      </x:c>
      <x:c r="K147" s="1" t="s">
        <x:v>20</x:v>
      </x:c>
      <x:c r="L147" s="1" t="s">
        <x:v>20</x:v>
      </x:c>
      <x:c r="M147" s="1" t="s">
        <x:v>20</x:v>
      </x:c>
      <x:c r="N147" s="1" t="s">
        <x:v>20</x:v>
      </x:c>
      <x:c r="O147" s="1" t="s">
        <x:v>20</x:v>
      </x:c>
      <x:c r="P147" s="1" t="s">
        <x:v>20</x:v>
      </x:c>
      <x:c r="Q147" s="1" t="s">
        <x:v>20</x:v>
      </x:c>
    </x:row>
    <x:row r="148" spans="1:17">
      <x:c r="A148" s="1" t="s">
        <x:v>186</x:v>
      </x:c>
      <x:c r="B148" s="2" t="s">
        <x:v>18</x:v>
      </x:c>
      <x:c r="C148" s="2">
        <x:f>HYPERLINK("https://team-v23u.testit.software/projects/142/tests/551", "Копия whatsapp логотип")</x:f>
      </x:c>
      <x:c r="D148" s="1" t="s">
        <x:v>19</x:v>
      </x:c>
      <x:c r="E148" s="1" t="s">
        <x:v>20</x:v>
      </x:c>
      <x:c r="F148" s="1" t="s">
        <x:v>20</x:v>
      </x:c>
      <x:c r="G148" s="1" t="s">
        <x:v>20</x:v>
      </x:c>
      <x:c r="H148" s="1" t="s">
        <x:v>20</x:v>
      </x:c>
      <x:c r="I148" s="1" t="s">
        <x:v>20</x:v>
      </x:c>
      <x:c r="J148" s="1" t="s">
        <x:v>20</x:v>
      </x:c>
      <x:c r="K148" s="1" t="s">
        <x:v>20</x:v>
      </x:c>
      <x:c r="L148" s="1" t="s">
        <x:v>21</x:v>
      </x:c>
      <x:c r="M148" s="1" t="s">
        <x:v>22</x:v>
      </x:c>
      <x:c r="N148" s="1" t="s">
        <x:v>187</x:v>
      </x:c>
      <x:c r="O148" s="1" t="s">
        <x:v>24</x:v>
      </x:c>
      <x:c r="P148" s="1" t="s">
        <x:v>30</x:v>
      </x:c>
      <x:c r="Q148" s="1" t="s">
        <x:v>188</x:v>
      </x:c>
    </x:row>
    <x:row r="149" spans="1:17">
      <x:c r="A149" s="1" t="s">
        <x:v>20</x:v>
      </x:c>
      <x:c r="B149" s="2" t="s">
        <x:v>20</x:v>
      </x:c>
      <x:c r="C149" s="2" t="s">
        <x:v>20</x:v>
      </x:c>
      <x:c r="D149" s="1" t="s">
        <x:v>20</x:v>
      </x:c>
      <x:c r="E149" s="1" t="s">
        <x:v>20</x:v>
      </x:c>
      <x:c r="F149" s="1" t="s">
        <x:v>26</x:v>
      </x:c>
      <x:c r="G149" s="1" t="s">
        <x:v>20</x:v>
      </x:c>
      <x:c r="H149" s="1" t="s">
        <x:v>27</x:v>
      </x:c>
      <x:c r="I149" s="1" t="s">
        <x:v>20</x:v>
      </x:c>
      <x:c r="J149" s="1" t="s">
        <x:v>20</x:v>
      </x:c>
      <x:c r="K149" s="1" t="s">
        <x:v>20</x:v>
      </x:c>
      <x:c r="L149" s="1" t="s">
        <x:v>20</x:v>
      </x:c>
      <x:c r="M149" s="1" t="s">
        <x:v>20</x:v>
      </x:c>
      <x:c r="N149" s="1" t="s">
        <x:v>20</x:v>
      </x:c>
      <x:c r="O149" s="1" t="s">
        <x:v>20</x:v>
      </x:c>
      <x:c r="P149" s="1" t="s">
        <x:v>20</x:v>
      </x:c>
      <x:c r="Q149" s="1" t="s">
        <x:v>20</x:v>
      </x:c>
    </x:row>
    <x:row r="150" spans="1:17">
      <x:c r="A150" s="1" t="s">
        <x:v>20</x:v>
      </x:c>
      <x:c r="B150" s="2" t="s">
        <x:v>20</x:v>
      </x:c>
      <x:c r="C150" s="2" t="s">
        <x:v>20</x:v>
      </x:c>
      <x:c r="D150" s="1" t="s">
        <x:v>20</x:v>
      </x:c>
      <x:c r="E150" s="1" t="s">
        <x:v>20</x:v>
      </x:c>
      <x:c r="F150" s="1" t="s">
        <x:v>189</x:v>
      </x:c>
      <x:c r="G150" s="1" t="s">
        <x:v>20</x:v>
      </x:c>
      <x:c r="H150" s="1" t="s">
        <x:v>190</x:v>
      </x:c>
      <x:c r="I150" s="1" t="s">
        <x:v>20</x:v>
      </x:c>
      <x:c r="J150" s="1" t="s">
        <x:v>20</x:v>
      </x:c>
      <x:c r="K150" s="1" t="s">
        <x:v>20</x:v>
      </x:c>
      <x:c r="L150" s="1" t="s">
        <x:v>20</x:v>
      </x:c>
      <x:c r="M150" s="1" t="s">
        <x:v>20</x:v>
      </x:c>
      <x:c r="N150" s="1" t="s">
        <x:v>20</x:v>
      </x:c>
      <x:c r="O150" s="1" t="s">
        <x:v>20</x:v>
      </x:c>
      <x:c r="P150" s="1" t="s">
        <x:v>20</x:v>
      </x:c>
      <x:c r="Q150" s="1" t="s">
        <x:v>20</x:v>
      </x:c>
    </x:row>
    <x:row r="151" spans="1:17">
      <x:c r="A151" s="1" t="s">
        <x:v>191</x:v>
      </x:c>
      <x:c r="B151" s="2" t="s">
        <x:v>18</x:v>
      </x:c>
      <x:c r="C151" s="2">
        <x:f>HYPERLINK("https://team-v23u.testit.software/projects/142/tests/552", "Озон")</x:f>
      </x:c>
      <x:c r="D151" s="1" t="s">
        <x:v>19</x:v>
      </x:c>
      <x:c r="E151" s="1" t="s">
        <x:v>20</x:v>
      </x:c>
      <x:c r="F151" s="1" t="s">
        <x:v>20</x:v>
      </x:c>
      <x:c r="G151" s="1" t="s">
        <x:v>20</x:v>
      </x:c>
      <x:c r="H151" s="1" t="s">
        <x:v>20</x:v>
      </x:c>
      <x:c r="I151" s="1" t="s">
        <x:v>20</x:v>
      </x:c>
      <x:c r="J151" s="1" t="s">
        <x:v>20</x:v>
      </x:c>
      <x:c r="K151" s="1" t="s">
        <x:v>20</x:v>
      </x:c>
      <x:c r="L151" s="1" t="s">
        <x:v>21</x:v>
      </x:c>
      <x:c r="M151" s="1" t="s">
        <x:v>22</x:v>
      </x:c>
      <x:c r="N151" s="1" t="s">
        <x:v>192</x:v>
      </x:c>
      <x:c r="O151" s="1" t="s">
        <x:v>24</x:v>
      </x:c>
      <x:c r="P151" s="1" t="s">
        <x:v>30</x:v>
      </x:c>
      <x:c r="Q151" s="1" t="s">
        <x:v>20</x:v>
      </x:c>
    </x:row>
    <x:row r="152" spans="1:17">
      <x:c r="A152" s="1" t="s">
        <x:v>20</x:v>
      </x:c>
      <x:c r="B152" s="2" t="s">
        <x:v>20</x:v>
      </x:c>
      <x:c r="C152" s="2" t="s">
        <x:v>20</x:v>
      </x:c>
      <x:c r="D152" s="1" t="s">
        <x:v>20</x:v>
      </x:c>
      <x:c r="E152" s="1" t="s">
        <x:v>20</x:v>
      </x:c>
      <x:c r="F152" s="1" t="s">
        <x:v>26</x:v>
      </x:c>
      <x:c r="G152" s="1" t="s">
        <x:v>20</x:v>
      </x:c>
      <x:c r="H152" s="1" t="s">
        <x:v>27</x:v>
      </x:c>
      <x:c r="I152" s="1" t="s">
        <x:v>20</x:v>
      </x:c>
      <x:c r="J152" s="1" t="s">
        <x:v>20</x:v>
      </x:c>
      <x:c r="K152" s="1" t="s">
        <x:v>20</x:v>
      </x:c>
      <x:c r="L152" s="1" t="s">
        <x:v>20</x:v>
      </x:c>
      <x:c r="M152" s="1" t="s">
        <x:v>20</x:v>
      </x:c>
      <x:c r="N152" s="1" t="s">
        <x:v>20</x:v>
      </x:c>
      <x:c r="O152" s="1" t="s">
        <x:v>20</x:v>
      </x:c>
      <x:c r="P152" s="1" t="s">
        <x:v>20</x:v>
      </x:c>
      <x:c r="Q152" s="1" t="s">
        <x:v>20</x:v>
      </x:c>
    </x:row>
    <x:row r="153" spans="1:17">
      <x:c r="A153" s="1" t="s">
        <x:v>20</x:v>
      </x:c>
      <x:c r="B153" s="2" t="s">
        <x:v>20</x:v>
      </x:c>
      <x:c r="C153" s="2" t="s">
        <x:v>20</x:v>
      </x:c>
      <x:c r="D153" s="1" t="s">
        <x:v>20</x:v>
      </x:c>
      <x:c r="E153" s="1" t="s">
        <x:v>20</x:v>
      </x:c>
      <x:c r="F153" s="1" t="s">
        <x:v>193</x:v>
      </x:c>
      <x:c r="G153" s="1" t="s">
        <x:v>20</x:v>
      </x:c>
      <x:c r="H153" s="1" t="s">
        <x:v>33</x:v>
      </x:c>
      <x:c r="I153" s="1" t="s">
        <x:v>20</x:v>
      </x:c>
      <x:c r="J153" s="1" t="s">
        <x:v>20</x:v>
      </x:c>
      <x:c r="K153" s="1" t="s">
        <x:v>20</x:v>
      </x:c>
      <x:c r="L153" s="1" t="s">
        <x:v>20</x:v>
      </x:c>
      <x:c r="M153" s="1" t="s">
        <x:v>20</x:v>
      </x:c>
      <x:c r="N153" s="1" t="s">
        <x:v>20</x:v>
      </x:c>
      <x:c r="O153" s="1" t="s">
        <x:v>20</x:v>
      </x:c>
      <x:c r="P153" s="1" t="s">
        <x:v>20</x:v>
      </x:c>
      <x:c r="Q153" s="1" t="s">
        <x:v>20</x:v>
      </x:c>
    </x:row>
    <x:row r="154" spans="1:17">
      <x:c r="A154" s="1" t="s">
        <x:v>20</x:v>
      </x:c>
      <x:c r="B154" s="2" t="s">
        <x:v>20</x:v>
      </x:c>
      <x:c r="C154" s="2" t="s">
        <x:v>20</x:v>
      </x:c>
      <x:c r="D154" s="1" t="s">
        <x:v>20</x:v>
      </x:c>
      <x:c r="E154" s="1" t="s">
        <x:v>20</x:v>
      </x:c>
      <x:c r="F154" s="1" t="s">
        <x:v>194</x:v>
      </x:c>
      <x:c r="G154" s="1" t="s">
        <x:v>20</x:v>
      </x:c>
      <x:c r="H154" s="1" t="s">
        <x:v>195</x:v>
      </x:c>
      <x:c r="I154" s="1" t="s">
        <x:v>20</x:v>
      </x:c>
      <x:c r="J154" s="1" t="s">
        <x:v>20</x:v>
      </x:c>
      <x:c r="K154" s="1" t="s">
        <x:v>20</x:v>
      </x:c>
      <x:c r="L154" s="1" t="s">
        <x:v>20</x:v>
      </x:c>
      <x:c r="M154" s="1" t="s">
        <x:v>20</x:v>
      </x:c>
      <x:c r="N154" s="1" t="s">
        <x:v>20</x:v>
      </x:c>
      <x:c r="O154" s="1" t="s">
        <x:v>20</x:v>
      </x:c>
      <x:c r="P154" s="1" t="s">
        <x:v>20</x:v>
      </x:c>
      <x:c r="Q154" s="1" t="s">
        <x:v>20</x:v>
      </x:c>
    </x:row>
    <x:row r="155" spans="1:17">
      <x:c r="A155" s="1" t="s">
        <x:v>20</x:v>
      </x:c>
      <x:c r="B155" s="2" t="s">
        <x:v>20</x:v>
      </x:c>
      <x:c r="C155" s="2" t="s">
        <x:v>20</x:v>
      </x:c>
      <x:c r="D155" s="1" t="s">
        <x:v>20</x:v>
      </x:c>
      <x:c r="E155" s="1" t="s">
        <x:v>20</x:v>
      </x:c>
      <x:c r="F155" s="1" t="s">
        <x:v>196</x:v>
      </x:c>
      <x:c r="G155" s="1" t="s">
        <x:v>20</x:v>
      </x:c>
      <x:c r="H155" s="1" t="s">
        <x:v>197</x:v>
      </x:c>
      <x:c r="I155" s="1" t="s">
        <x:v>20</x:v>
      </x:c>
      <x:c r="J155" s="1" t="s">
        <x:v>20</x:v>
      </x:c>
      <x:c r="K155" s="1" t="s">
        <x:v>20</x:v>
      </x:c>
      <x:c r="L155" s="1" t="s">
        <x:v>20</x:v>
      </x:c>
      <x:c r="M155" s="1" t="s">
        <x:v>20</x:v>
      </x:c>
      <x:c r="N155" s="1" t="s">
        <x:v>20</x:v>
      </x:c>
      <x:c r="O155" s="1" t="s">
        <x:v>20</x:v>
      </x:c>
      <x:c r="P155" s="1" t="s">
        <x:v>20</x:v>
      </x:c>
      <x:c r="Q155" s="1" t="s">
        <x:v>20</x:v>
      </x:c>
    </x:row>
    <x:row r="156" spans="1:17">
      <x:c r="A156" s="1" t="s">
        <x:v>198</x:v>
      </x:c>
      <x:c r="B156" s="2" t="s">
        <x:v>18</x:v>
      </x:c>
      <x:c r="C156" s="2">
        <x:f>HYPERLINK("https://team-v23u.testit.software/projects/142/tests/553", "WB ")</x:f>
      </x:c>
      <x:c r="D156" s="1" t="s">
        <x:v>19</x:v>
      </x:c>
      <x:c r="E156" s="1" t="s">
        <x:v>20</x:v>
      </x:c>
      <x:c r="F156" s="1" t="s">
        <x:v>20</x:v>
      </x:c>
      <x:c r="G156" s="1" t="s">
        <x:v>20</x:v>
      </x:c>
      <x:c r="H156" s="1" t="s">
        <x:v>20</x:v>
      </x:c>
      <x:c r="I156" s="1" t="s">
        <x:v>20</x:v>
      </x:c>
      <x:c r="J156" s="1" t="s">
        <x:v>20</x:v>
      </x:c>
      <x:c r="K156" s="1" t="s">
        <x:v>20</x:v>
      </x:c>
      <x:c r="L156" s="1" t="s">
        <x:v>199</x:v>
      </x:c>
      <x:c r="M156" s="1" t="s">
        <x:v>22</x:v>
      </x:c>
      <x:c r="N156" s="1" t="s">
        <x:v>200</x:v>
      </x:c>
      <x:c r="O156" s="1" t="s">
        <x:v>24</x:v>
      </x:c>
      <x:c r="P156" s="1" t="s">
        <x:v>30</x:v>
      </x:c>
      <x:c r="Q156" s="1" t="s">
        <x:v>188</x:v>
      </x:c>
    </x:row>
    <x:row r="157" spans="1:17">
      <x:c r="A157" s="1" t="s">
        <x:v>20</x:v>
      </x:c>
      <x:c r="B157" s="2" t="s">
        <x:v>20</x:v>
      </x:c>
      <x:c r="C157" s="2" t="s">
        <x:v>20</x:v>
      </x:c>
      <x:c r="D157" s="1" t="s">
        <x:v>20</x:v>
      </x:c>
      <x:c r="E157" s="1" t="s">
        <x:v>20</x:v>
      </x:c>
      <x:c r="F157" s="1" t="s">
        <x:v>26</x:v>
      </x:c>
      <x:c r="G157" s="1" t="s">
        <x:v>20</x:v>
      </x:c>
      <x:c r="H157" s="1" t="s">
        <x:v>27</x:v>
      </x:c>
      <x:c r="I157" s="1" t="s">
        <x:v>20</x:v>
      </x:c>
      <x:c r="J157" s="1" t="s">
        <x:v>20</x:v>
      </x:c>
      <x:c r="K157" s="1" t="s">
        <x:v>20</x:v>
      </x:c>
      <x:c r="L157" s="1" t="s">
        <x:v>20</x:v>
      </x:c>
      <x:c r="M157" s="1" t="s">
        <x:v>20</x:v>
      </x:c>
      <x:c r="N157" s="1" t="s">
        <x:v>20</x:v>
      </x:c>
      <x:c r="O157" s="1" t="s">
        <x:v>20</x:v>
      </x:c>
      <x:c r="P157" s="1" t="s">
        <x:v>20</x:v>
      </x:c>
      <x:c r="Q157" s="1" t="s">
        <x:v>20</x:v>
      </x:c>
    </x:row>
    <x:row r="158" spans="1:17">
      <x:c r="A158" s="1" t="s">
        <x:v>20</x:v>
      </x:c>
      <x:c r="B158" s="2" t="s">
        <x:v>20</x:v>
      </x:c>
      <x:c r="C158" s="2" t="s">
        <x:v>20</x:v>
      </x:c>
      <x:c r="D158" s="1" t="s">
        <x:v>20</x:v>
      </x:c>
      <x:c r="E158" s="1" t="s">
        <x:v>20</x:v>
      </x:c>
      <x:c r="F158" s="1" t="s">
        <x:v>201</x:v>
      </x:c>
      <x:c r="G158" s="1" t="s">
        <x:v>20</x:v>
      </x:c>
      <x:c r="H158" s="1" t="s">
        <x:v>33</x:v>
      </x:c>
      <x:c r="I158" s="1" t="s">
        <x:v>20</x:v>
      </x:c>
      <x:c r="J158" s="1" t="s">
        <x:v>20</x:v>
      </x:c>
      <x:c r="K158" s="1" t="s">
        <x:v>20</x:v>
      </x:c>
      <x:c r="L158" s="1" t="s">
        <x:v>20</x:v>
      </x:c>
      <x:c r="M158" s="1" t="s">
        <x:v>20</x:v>
      </x:c>
      <x:c r="N158" s="1" t="s">
        <x:v>20</x:v>
      </x:c>
      <x:c r="O158" s="1" t="s">
        <x:v>20</x:v>
      </x:c>
      <x:c r="P158" s="1" t="s">
        <x:v>20</x:v>
      </x:c>
      <x:c r="Q158" s="1" t="s">
        <x:v>20</x:v>
      </x:c>
    </x:row>
    <x:row r="159" spans="1:17">
      <x:c r="A159" s="1" t="s">
        <x:v>20</x:v>
      </x:c>
      <x:c r="B159" s="2" t="s">
        <x:v>20</x:v>
      </x:c>
      <x:c r="C159" s="2" t="s">
        <x:v>20</x:v>
      </x:c>
      <x:c r="D159" s="1" t="s">
        <x:v>20</x:v>
      </x:c>
      <x:c r="E159" s="1" t="s">
        <x:v>20</x:v>
      </x:c>
      <x:c r="F159" s="1" t="s">
        <x:v>202</x:v>
      </x:c>
      <x:c r="G159" s="1" t="s">
        <x:v>20</x:v>
      </x:c>
      <x:c r="H159" s="1" t="s">
        <x:v>203</x:v>
      </x:c>
      <x:c r="I159" s="1" t="s">
        <x:v>20</x:v>
      </x:c>
      <x:c r="J159" s="1" t="s">
        <x:v>20</x:v>
      </x:c>
      <x:c r="K159" s="1" t="s">
        <x:v>20</x:v>
      </x:c>
      <x:c r="L159" s="1" t="s">
        <x:v>20</x:v>
      </x:c>
      <x:c r="M159" s="1" t="s">
        <x:v>20</x:v>
      </x:c>
      <x:c r="N159" s="1" t="s">
        <x:v>20</x:v>
      </x:c>
      <x:c r="O159" s="1" t="s">
        <x:v>20</x:v>
      </x:c>
      <x:c r="P159" s="1" t="s">
        <x:v>20</x:v>
      </x:c>
      <x:c r="Q159" s="1" t="s">
        <x:v>20</x:v>
      </x:c>
    </x:row>
    <x:row r="160" spans="1:17">
      <x:c r="A160" s="1" t="s">
        <x:v>20</x:v>
      </x:c>
      <x:c r="B160" s="2" t="s">
        <x:v>20</x:v>
      </x:c>
      <x:c r="C160" s="2" t="s">
        <x:v>20</x:v>
      </x:c>
      <x:c r="D160" s="1" t="s">
        <x:v>20</x:v>
      </x:c>
      <x:c r="E160" s="1" t="s">
        <x:v>20</x:v>
      </x:c>
      <x:c r="F160" s="1" t="s">
        <x:v>204</x:v>
      </x:c>
      <x:c r="G160" s="1" t="s">
        <x:v>20</x:v>
      </x:c>
      <x:c r="H160" s="1" t="s">
        <x:v>205</x:v>
      </x:c>
      <x:c r="I160" s="1" t="s">
        <x:v>20</x:v>
      </x:c>
      <x:c r="J160" s="1" t="s">
        <x:v>20</x:v>
      </x:c>
      <x:c r="K160" s="1" t="s">
        <x:v>20</x:v>
      </x:c>
      <x:c r="L160" s="1" t="s">
        <x:v>20</x:v>
      </x:c>
      <x:c r="M160" s="1" t="s">
        <x:v>20</x:v>
      </x:c>
      <x:c r="N160" s="1" t="s">
        <x:v>20</x:v>
      </x:c>
      <x:c r="O160" s="1" t="s">
        <x:v>20</x:v>
      </x:c>
      <x:c r="P160" s="1" t="s">
        <x:v>20</x:v>
      </x:c>
      <x:c r="Q160" s="1" t="s">
        <x:v>20</x:v>
      </x:c>
    </x:row>
    <x:row r="161" spans="1:17">
      <x:c r="A161" s="1" t="s">
        <x:v>206</x:v>
      </x:c>
      <x:c r="B161" s="2" t="s">
        <x:v>18</x:v>
      </x:c>
      <x:c r="C161" s="2">
        <x:f>HYPERLINK("https://team-v23u.testit.software/projects/142/tests/554", "Копия корзина")</x:f>
      </x:c>
      <x:c r="D161" s="1" t="s">
        <x:v>19</x:v>
      </x:c>
      <x:c r="E161" s="1" t="s">
        <x:v>20</x:v>
      </x:c>
      <x:c r="F161" s="1" t="s">
        <x:v>20</x:v>
      </x:c>
      <x:c r="G161" s="1" t="s">
        <x:v>20</x:v>
      </x:c>
      <x:c r="H161" s="1" t="s">
        <x:v>20</x:v>
      </x:c>
      <x:c r="I161" s="1" t="s">
        <x:v>20</x:v>
      </x:c>
      <x:c r="J161" s="1" t="s">
        <x:v>20</x:v>
      </x:c>
      <x:c r="K161" s="1" t="s">
        <x:v>20</x:v>
      </x:c>
      <x:c r="L161" s="1" t="s">
        <x:v>21</x:v>
      </x:c>
      <x:c r="M161" s="1" t="s">
        <x:v>22</x:v>
      </x:c>
      <x:c r="N161" s="1" t="s">
        <x:v>207</x:v>
      </x:c>
      <x:c r="O161" s="1" t="s">
        <x:v>24</x:v>
      </x:c>
      <x:c r="P161" s="1" t="s">
        <x:v>30</x:v>
      </x:c>
      <x:c r="Q161" s="1" t="s">
        <x:v>20</x:v>
      </x:c>
    </x:row>
    <x:row r="162" spans="1:17">
      <x:c r="A162" s="1" t="s">
        <x:v>20</x:v>
      </x:c>
      <x:c r="B162" s="2" t="s">
        <x:v>20</x:v>
      </x:c>
      <x:c r="C162" s="2" t="s">
        <x:v>20</x:v>
      </x:c>
      <x:c r="D162" s="1" t="s">
        <x:v>20</x:v>
      </x:c>
      <x:c r="E162" s="1" t="s">
        <x:v>20</x:v>
      </x:c>
      <x:c r="F162" s="1" t="s">
        <x:v>26</x:v>
      </x:c>
      <x:c r="G162" s="1" t="s">
        <x:v>20</x:v>
      </x:c>
      <x:c r="H162" s="1" t="s">
        <x:v>27</x:v>
      </x:c>
      <x:c r="I162" s="1" t="s">
        <x:v>20</x:v>
      </x:c>
      <x:c r="J162" s="1" t="s">
        <x:v>20</x:v>
      </x:c>
      <x:c r="K162" s="1" t="s">
        <x:v>20</x:v>
      </x:c>
      <x:c r="L162" s="1" t="s">
        <x:v>20</x:v>
      </x:c>
      <x:c r="M162" s="1" t="s">
        <x:v>20</x:v>
      </x:c>
      <x:c r="N162" s="1" t="s">
        <x:v>20</x:v>
      </x:c>
      <x:c r="O162" s="1" t="s">
        <x:v>20</x:v>
      </x:c>
      <x:c r="P162" s="1" t="s">
        <x:v>20</x:v>
      </x:c>
      <x:c r="Q162" s="1" t="s">
        <x:v>20</x:v>
      </x:c>
    </x:row>
    <x:row r="163" spans="1:17">
      <x:c r="A163" s="1" t="s">
        <x:v>20</x:v>
      </x:c>
      <x:c r="B163" s="2" t="s">
        <x:v>20</x:v>
      </x:c>
      <x:c r="C163" s="2" t="s">
        <x:v>20</x:v>
      </x:c>
      <x:c r="D163" s="1" t="s">
        <x:v>20</x:v>
      </x:c>
      <x:c r="E163" s="1" t="s">
        <x:v>20</x:v>
      </x:c>
      <x:c r="F163" s="1" t="s">
        <x:v>115</x:v>
      </x:c>
      <x:c r="G163" s="1" t="s">
        <x:v>20</x:v>
      </x:c>
      <x:c r="H163" s="1" t="s">
        <x:v>116</x:v>
      </x:c>
      <x:c r="I163" s="1" t="s">
        <x:v>20</x:v>
      </x:c>
      <x:c r="J163" s="1" t="s">
        <x:v>20</x:v>
      </x:c>
      <x:c r="K163" s="1" t="s">
        <x:v>20</x:v>
      </x:c>
      <x:c r="L163" s="1" t="s">
        <x:v>20</x:v>
      </x:c>
      <x:c r="M163" s="1" t="s">
        <x:v>20</x:v>
      </x:c>
      <x:c r="N163" s="1" t="s">
        <x:v>20</x:v>
      </x:c>
      <x:c r="O163" s="1" t="s">
        <x:v>20</x:v>
      </x:c>
      <x:c r="P163" s="1" t="s">
        <x:v>20</x:v>
      </x:c>
      <x:c r="Q163" s="1" t="s">
        <x:v>20</x:v>
      </x:c>
    </x:row>
    <x:row r="164" spans="1:17">
      <x:c r="A164" s="1" t="s">
        <x:v>20</x:v>
      </x:c>
      <x:c r="B164" s="2" t="s">
        <x:v>20</x:v>
      </x:c>
      <x:c r="C164" s="2" t="s">
        <x:v>20</x:v>
      </x:c>
      <x:c r="D164" s="1" t="s">
        <x:v>20</x:v>
      </x:c>
      <x:c r="E164" s="1" t="s">
        <x:v>20</x:v>
      </x:c>
      <x:c r="F164" s="1" t="s">
        <x:v>117</x:v>
      </x:c>
      <x:c r="G164" s="1" t="s">
        <x:v>20</x:v>
      </x:c>
      <x:c r="H164" s="1" t="s">
        <x:v>118</x:v>
      </x:c>
      <x:c r="I164" s="1" t="s">
        <x:v>20</x:v>
      </x:c>
      <x:c r="J164" s="1" t="s">
        <x:v>20</x:v>
      </x:c>
      <x:c r="K164" s="1" t="s">
        <x:v>20</x:v>
      </x:c>
      <x:c r="L164" s="1" t="s">
        <x:v>20</x:v>
      </x:c>
      <x:c r="M164" s="1" t="s">
        <x:v>20</x:v>
      </x:c>
      <x:c r="N164" s="1" t="s">
        <x:v>20</x:v>
      </x:c>
      <x:c r="O164" s="1" t="s">
        <x:v>20</x:v>
      </x:c>
      <x:c r="P164" s="1" t="s">
        <x:v>20</x:v>
      </x:c>
      <x:c r="Q164" s="1" t="s">
        <x:v>20</x:v>
      </x:c>
    </x:row>
    <x:row r="165" spans="1:17">
      <x:c r="A165" s="1" t="s">
        <x:v>20</x:v>
      </x:c>
      <x:c r="B165" s="2" t="s">
        <x:v>20</x:v>
      </x:c>
      <x:c r="C165" s="2" t="s">
        <x:v>20</x:v>
      </x:c>
      <x:c r="D165" s="1" t="s">
        <x:v>20</x:v>
      </x:c>
      <x:c r="E165" s="1" t="s">
        <x:v>20</x:v>
      </x:c>
      <x:c r="F165" s="1" t="s">
        <x:v>208</x:v>
      </x:c>
      <x:c r="G165" s="1" t="s">
        <x:v>20</x:v>
      </x:c>
      <x:c r="H165" s="1" t="s">
        <x:v>209</x:v>
      </x:c>
      <x:c r="I165" s="1" t="s">
        <x:v>20</x:v>
      </x:c>
      <x:c r="J165" s="1" t="s">
        <x:v>20</x:v>
      </x:c>
      <x:c r="K165" s="1" t="s">
        <x:v>20</x:v>
      </x:c>
      <x:c r="L165" s="1" t="s">
        <x:v>20</x:v>
      </x:c>
      <x:c r="M165" s="1" t="s">
        <x:v>20</x:v>
      </x:c>
      <x:c r="N165" s="1" t="s">
        <x:v>20</x:v>
      </x:c>
      <x:c r="O165" s="1" t="s">
        <x:v>20</x:v>
      </x:c>
      <x:c r="P165" s="1" t="s">
        <x:v>20</x:v>
      </x:c>
      <x:c r="Q165" s="1" t="s">
        <x:v>20</x:v>
      </x:c>
    </x:row>
    <x:row r="166" spans="1:17">
      <x:c r="A166" s="1" t="s">
        <x:v>20</x:v>
      </x:c>
      <x:c r="B166" s="2" t="s">
        <x:v>20</x:v>
      </x:c>
      <x:c r="C166" s="2" t="s">
        <x:v>20</x:v>
      </x:c>
      <x:c r="D166" s="1" t="s">
        <x:v>20</x:v>
      </x:c>
      <x:c r="E166" s="1" t="s">
        <x:v>20</x:v>
      </x:c>
      <x:c r="F166" s="1" t="s">
        <x:v>20</x:v>
      </x:c>
      <x:c r="G166" s="1" t="s">
        <x:v>119</x:v>
      </x:c>
      <x:c r="H166" s="1" t="s">
        <x:v>20</x:v>
      </x:c>
      <x:c r="I166" s="1" t="s">
        <x:v>20</x:v>
      </x:c>
      <x:c r="J166" s="1" t="s">
        <x:v>20</x:v>
      </x:c>
      <x:c r="K166" s="1" t="s">
        <x:v>20</x:v>
      </x:c>
      <x:c r="L166" s="1" t="s">
        <x:v>20</x:v>
      </x:c>
      <x:c r="M166" s="1" t="s">
        <x:v>20</x:v>
      </x:c>
      <x:c r="N166" s="1" t="s">
        <x:v>20</x:v>
      </x:c>
      <x:c r="O166" s="1" t="s">
        <x:v>20</x:v>
      </x:c>
      <x:c r="P166" s="1" t="s">
        <x:v>20</x:v>
      </x:c>
      <x:c r="Q166" s="1" t="s">
        <x:v>20</x:v>
      </x:c>
    </x:row>
    <x:row r="167" spans="1:17">
      <x:c r="A167" s="1" t="s">
        <x:v>210</x:v>
      </x:c>
      <x:c r="B167" s="2" t="s">
        <x:v>18</x:v>
      </x:c>
      <x:c r="C167" s="2">
        <x:f>HYPERLINK("https://team-v23u.testit.software/projects/142/tests/555", "Копия сравнение")</x:f>
      </x:c>
      <x:c r="D167" s="1" t="s">
        <x:v>19</x:v>
      </x:c>
      <x:c r="E167" s="1" t="s">
        <x:v>20</x:v>
      </x:c>
      <x:c r="F167" s="1" t="s">
        <x:v>20</x:v>
      </x:c>
      <x:c r="G167" s="1" t="s">
        <x:v>20</x:v>
      </x:c>
      <x:c r="H167" s="1" t="s">
        <x:v>20</x:v>
      </x:c>
      <x:c r="I167" s="1" t="s">
        <x:v>20</x:v>
      </x:c>
      <x:c r="J167" s="1" t="s">
        <x:v>20</x:v>
      </x:c>
      <x:c r="K167" s="1" t="s">
        <x:v>20</x:v>
      </x:c>
      <x:c r="L167" s="1" t="s">
        <x:v>21</x:v>
      </x:c>
      <x:c r="M167" s="1" t="s">
        <x:v>22</x:v>
      </x:c>
      <x:c r="N167" s="1" t="s">
        <x:v>211</x:v>
      </x:c>
      <x:c r="O167" s="1" t="s">
        <x:v>24</x:v>
      </x:c>
      <x:c r="P167" s="1" t="s">
        <x:v>30</x:v>
      </x:c>
      <x:c r="Q167" s="1" t="s">
        <x:v>20</x:v>
      </x:c>
    </x:row>
    <x:row r="168" spans="1:17">
      <x:c r="A168" s="1" t="s">
        <x:v>20</x:v>
      </x:c>
      <x:c r="B168" s="2" t="s">
        <x:v>20</x:v>
      </x:c>
      <x:c r="C168" s="2" t="s">
        <x:v>20</x:v>
      </x:c>
      <x:c r="D168" s="1" t="s">
        <x:v>20</x:v>
      </x:c>
      <x:c r="E168" s="1" t="s">
        <x:v>20</x:v>
      </x:c>
      <x:c r="F168" s="1" t="s">
        <x:v>26</x:v>
      </x:c>
      <x:c r="G168" s="1" t="s">
        <x:v>20</x:v>
      </x:c>
      <x:c r="H168" s="1" t="s">
        <x:v>27</x:v>
      </x:c>
      <x:c r="I168" s="1" t="s">
        <x:v>20</x:v>
      </x:c>
      <x:c r="J168" s="1" t="s">
        <x:v>20</x:v>
      </x:c>
      <x:c r="K168" s="1" t="s">
        <x:v>20</x:v>
      </x:c>
      <x:c r="L168" s="1" t="s">
        <x:v>20</x:v>
      </x:c>
      <x:c r="M168" s="1" t="s">
        <x:v>20</x:v>
      </x:c>
      <x:c r="N168" s="1" t="s">
        <x:v>20</x:v>
      </x:c>
      <x:c r="O168" s="1" t="s">
        <x:v>20</x:v>
      </x:c>
      <x:c r="P168" s="1" t="s">
        <x:v>20</x:v>
      </x:c>
      <x:c r="Q168" s="1" t="s">
        <x:v>20</x:v>
      </x:c>
    </x:row>
    <x:row r="169" spans="1:17">
      <x:c r="A169" s="1" t="s">
        <x:v>20</x:v>
      </x:c>
      <x:c r="B169" s="2" t="s">
        <x:v>20</x:v>
      </x:c>
      <x:c r="C169" s="2" t="s">
        <x:v>20</x:v>
      </x:c>
      <x:c r="D169" s="1" t="s">
        <x:v>20</x:v>
      </x:c>
      <x:c r="E169" s="1" t="s">
        <x:v>20</x:v>
      </x:c>
      <x:c r="F169" s="1" t="s">
        <x:v>122</x:v>
      </x:c>
      <x:c r="G169" s="1" t="s">
        <x:v>20</x:v>
      </x:c>
      <x:c r="H169" s="1" t="s">
        <x:v>39</x:v>
      </x:c>
      <x:c r="I169" s="1" t="s">
        <x:v>20</x:v>
      </x:c>
      <x:c r="J169" s="1" t="s">
        <x:v>20</x:v>
      </x:c>
      <x:c r="K169" s="1" t="s">
        <x:v>20</x:v>
      </x:c>
      <x:c r="L169" s="1" t="s">
        <x:v>20</x:v>
      </x:c>
      <x:c r="M169" s="1" t="s">
        <x:v>20</x:v>
      </x:c>
      <x:c r="N169" s="1" t="s">
        <x:v>20</x:v>
      </x:c>
      <x:c r="O169" s="1" t="s">
        <x:v>20</x:v>
      </x:c>
      <x:c r="P169" s="1" t="s">
        <x:v>20</x:v>
      </x:c>
      <x:c r="Q169" s="1" t="s">
        <x:v>20</x:v>
      </x:c>
    </x:row>
    <x:row r="170" spans="1:17">
      <x:c r="A170" s="1" t="s">
        <x:v>20</x:v>
      </x:c>
      <x:c r="B170" s="2" t="s">
        <x:v>20</x:v>
      </x:c>
      <x:c r="C170" s="2" t="s">
        <x:v>20</x:v>
      </x:c>
      <x:c r="D170" s="1" t="s">
        <x:v>20</x:v>
      </x:c>
      <x:c r="E170" s="1" t="s">
        <x:v>20</x:v>
      </x:c>
      <x:c r="F170" s="1" t="s">
        <x:v>123</x:v>
      </x:c>
      <x:c r="G170" s="1" t="s">
        <x:v>20</x:v>
      </x:c>
      <x:c r="H170" s="1" t="s">
        <x:v>124</x:v>
      </x:c>
      <x:c r="I170" s="1" t="s">
        <x:v>20</x:v>
      </x:c>
      <x:c r="J170" s="1" t="s">
        <x:v>20</x:v>
      </x:c>
      <x:c r="K170" s="1" t="s">
        <x:v>20</x:v>
      </x:c>
      <x:c r="L170" s="1" t="s">
        <x:v>20</x:v>
      </x:c>
      <x:c r="M170" s="1" t="s">
        <x:v>20</x:v>
      </x:c>
      <x:c r="N170" s="1" t="s">
        <x:v>20</x:v>
      </x:c>
      <x:c r="O170" s="1" t="s">
        <x:v>20</x:v>
      </x:c>
      <x:c r="P170" s="1" t="s">
        <x:v>20</x:v>
      </x:c>
      <x:c r="Q170" s="1" t="s">
        <x:v>20</x:v>
      </x:c>
    </x:row>
    <x:row r="171" spans="1:17">
      <x:c r="A171" s="1" t="s">
        <x:v>20</x:v>
      </x:c>
      <x:c r="B171" s="2" t="s">
        <x:v>20</x:v>
      </x:c>
      <x:c r="C171" s="2" t="s">
        <x:v>20</x:v>
      </x:c>
      <x:c r="D171" s="1" t="s">
        <x:v>20</x:v>
      </x:c>
      <x:c r="E171" s="1" t="s">
        <x:v>20</x:v>
      </x:c>
      <x:c r="F171" s="1" t="s">
        <x:v>212</x:v>
      </x:c>
      <x:c r="G171" s="1" t="s">
        <x:v>20</x:v>
      </x:c>
      <x:c r="H171" s="1" t="s">
        <x:v>213</x:v>
      </x:c>
      <x:c r="I171" s="1" t="s">
        <x:v>20</x:v>
      </x:c>
      <x:c r="J171" s="1" t="s">
        <x:v>20</x:v>
      </x:c>
      <x:c r="K171" s="1" t="s">
        <x:v>20</x:v>
      </x:c>
      <x:c r="L171" s="1" t="s">
        <x:v>20</x:v>
      </x:c>
      <x:c r="M171" s="1" t="s">
        <x:v>20</x:v>
      </x:c>
      <x:c r="N171" s="1" t="s">
        <x:v>20</x:v>
      </x:c>
      <x:c r="O171" s="1" t="s">
        <x:v>20</x:v>
      </x:c>
      <x:c r="P171" s="1" t="s">
        <x:v>20</x:v>
      </x:c>
      <x:c r="Q171" s="1" t="s">
        <x:v>20</x:v>
      </x:c>
    </x:row>
    <x:row r="172" spans="1:17">
      <x:c r="A172" s="1" t="s">
        <x:v>20</x:v>
      </x:c>
      <x:c r="B172" s="2" t="s">
        <x:v>20</x:v>
      </x:c>
      <x:c r="C172" s="2" t="s">
        <x:v>20</x:v>
      </x:c>
      <x:c r="D172" s="1" t="s">
        <x:v>20</x:v>
      </x:c>
      <x:c r="E172" s="1" t="s">
        <x:v>20</x:v>
      </x:c>
      <x:c r="F172" s="1" t="s">
        <x:v>20</x:v>
      </x:c>
      <x:c r="G172" s="1" t="s">
        <x:v>119</x:v>
      </x:c>
      <x:c r="H172" s="1" t="s">
        <x:v>20</x:v>
      </x:c>
      <x:c r="I172" s="1" t="s">
        <x:v>20</x:v>
      </x:c>
      <x:c r="J172" s="1" t="s">
        <x:v>20</x:v>
      </x:c>
      <x:c r="K172" s="1" t="s">
        <x:v>20</x:v>
      </x:c>
      <x:c r="L172" s="1" t="s">
        <x:v>20</x:v>
      </x:c>
      <x:c r="M172" s="1" t="s">
        <x:v>20</x:v>
      </x:c>
      <x:c r="N172" s="1" t="s">
        <x:v>20</x:v>
      </x:c>
      <x:c r="O172" s="1" t="s">
        <x:v>20</x:v>
      </x:c>
      <x:c r="P172" s="1" t="s">
        <x:v>20</x:v>
      </x:c>
      <x:c r="Q172" s="1" t="s">
        <x:v>20</x:v>
      </x:c>
    </x:row>
    <x:row r="173" spans="1:17">
      <x:c r="A173" s="1" t="s">
        <x:v>214</x:v>
      </x:c>
      <x:c r="B173" s="2" t="s">
        <x:v>18</x:v>
      </x:c>
      <x:c r="C173" s="2">
        <x:f>HYPERLINK("https://team-v23u.testit.software/projects/142/tests/556", "Копия избранное")</x:f>
      </x:c>
      <x:c r="D173" s="1" t="s">
        <x:v>19</x:v>
      </x:c>
      <x:c r="E173" s="1" t="s">
        <x:v>20</x:v>
      </x:c>
      <x:c r="F173" s="1" t="s">
        <x:v>20</x:v>
      </x:c>
      <x:c r="G173" s="1" t="s">
        <x:v>20</x:v>
      </x:c>
      <x:c r="H173" s="1" t="s">
        <x:v>20</x:v>
      </x:c>
      <x:c r="I173" s="1" t="s">
        <x:v>20</x:v>
      </x:c>
      <x:c r="J173" s="1" t="s">
        <x:v>20</x:v>
      </x:c>
      <x:c r="K173" s="1" t="s">
        <x:v>20</x:v>
      </x:c>
      <x:c r="L173" s="1" t="s">
        <x:v>21</x:v>
      </x:c>
      <x:c r="M173" s="1" t="s">
        <x:v>22</x:v>
      </x:c>
      <x:c r="N173" s="1" t="s">
        <x:v>215</x:v>
      </x:c>
      <x:c r="O173" s="1" t="s">
        <x:v>24</x:v>
      </x:c>
      <x:c r="P173" s="1" t="s">
        <x:v>30</x:v>
      </x:c>
      <x:c r="Q173" s="1" t="s">
        <x:v>20</x:v>
      </x:c>
    </x:row>
    <x:row r="174" spans="1:17">
      <x:c r="A174" s="1" t="s">
        <x:v>20</x:v>
      </x:c>
      <x:c r="B174" s="2" t="s">
        <x:v>20</x:v>
      </x:c>
      <x:c r="C174" s="2" t="s">
        <x:v>20</x:v>
      </x:c>
      <x:c r="D174" s="1" t="s">
        <x:v>20</x:v>
      </x:c>
      <x:c r="E174" s="1" t="s">
        <x:v>20</x:v>
      </x:c>
      <x:c r="F174" s="1" t="s">
        <x:v>26</x:v>
      </x:c>
      <x:c r="G174" s="1" t="s">
        <x:v>20</x:v>
      </x:c>
      <x:c r="H174" s="1" t="s">
        <x:v>27</x:v>
      </x:c>
      <x:c r="I174" s="1" t="s">
        <x:v>20</x:v>
      </x:c>
      <x:c r="J174" s="1" t="s">
        <x:v>20</x:v>
      </x:c>
      <x:c r="K174" s="1" t="s">
        <x:v>20</x:v>
      </x:c>
      <x:c r="L174" s="1" t="s">
        <x:v>20</x:v>
      </x:c>
      <x:c r="M174" s="1" t="s">
        <x:v>20</x:v>
      </x:c>
      <x:c r="N174" s="1" t="s">
        <x:v>20</x:v>
      </x:c>
      <x:c r="O174" s="1" t="s">
        <x:v>20</x:v>
      </x:c>
      <x:c r="P174" s="1" t="s">
        <x:v>20</x:v>
      </x:c>
      <x:c r="Q174" s="1" t="s">
        <x:v>20</x:v>
      </x:c>
    </x:row>
    <x:row r="175" spans="1:17">
      <x:c r="A175" s="1" t="s">
        <x:v>20</x:v>
      </x:c>
      <x:c r="B175" s="2" t="s">
        <x:v>20</x:v>
      </x:c>
      <x:c r="C175" s="2" t="s">
        <x:v>20</x:v>
      </x:c>
      <x:c r="D175" s="1" t="s">
        <x:v>20</x:v>
      </x:c>
      <x:c r="E175" s="1" t="s">
        <x:v>20</x:v>
      </x:c>
      <x:c r="F175" s="1" t="s">
        <x:v>127</x:v>
      </x:c>
      <x:c r="G175" s="1" t="s">
        <x:v>20</x:v>
      </x:c>
      <x:c r="H175" s="1" t="s">
        <x:v>39</x:v>
      </x:c>
      <x:c r="I175" s="1" t="s">
        <x:v>20</x:v>
      </x:c>
      <x:c r="J175" s="1" t="s">
        <x:v>20</x:v>
      </x:c>
      <x:c r="K175" s="1" t="s">
        <x:v>20</x:v>
      </x:c>
      <x:c r="L175" s="1" t="s">
        <x:v>20</x:v>
      </x:c>
      <x:c r="M175" s="1" t="s">
        <x:v>20</x:v>
      </x:c>
      <x:c r="N175" s="1" t="s">
        <x:v>20</x:v>
      </x:c>
      <x:c r="O175" s="1" t="s">
        <x:v>20</x:v>
      </x:c>
      <x:c r="P175" s="1" t="s">
        <x:v>20</x:v>
      </x:c>
      <x:c r="Q175" s="1" t="s">
        <x:v>20</x:v>
      </x:c>
    </x:row>
    <x:row r="176" spans="1:17">
      <x:c r="A176" s="1" t="s">
        <x:v>20</x:v>
      </x:c>
      <x:c r="B176" s="2" t="s">
        <x:v>20</x:v>
      </x:c>
      <x:c r="C176" s="2" t="s">
        <x:v>20</x:v>
      </x:c>
      <x:c r="D176" s="1" t="s">
        <x:v>20</x:v>
      </x:c>
      <x:c r="E176" s="1" t="s">
        <x:v>20</x:v>
      </x:c>
      <x:c r="F176" s="1" t="s">
        <x:v>123</x:v>
      </x:c>
      <x:c r="G176" s="1" t="s">
        <x:v>20</x:v>
      </x:c>
      <x:c r="H176" s="1" t="s">
        <x:v>128</x:v>
      </x:c>
      <x:c r="I176" s="1" t="s">
        <x:v>20</x:v>
      </x:c>
      <x:c r="J176" s="1" t="s">
        <x:v>20</x:v>
      </x:c>
      <x:c r="K176" s="1" t="s">
        <x:v>20</x:v>
      </x:c>
      <x:c r="L176" s="1" t="s">
        <x:v>20</x:v>
      </x:c>
      <x:c r="M176" s="1" t="s">
        <x:v>20</x:v>
      </x:c>
      <x:c r="N176" s="1" t="s">
        <x:v>20</x:v>
      </x:c>
      <x:c r="O176" s="1" t="s">
        <x:v>20</x:v>
      </x:c>
      <x:c r="P176" s="1" t="s">
        <x:v>20</x:v>
      </x:c>
      <x:c r="Q176" s="1" t="s">
        <x:v>20</x:v>
      </x:c>
    </x:row>
    <x:row r="177" spans="1:17">
      <x:c r="A177" s="1" t="s">
        <x:v>20</x:v>
      </x:c>
      <x:c r="B177" s="2" t="s">
        <x:v>20</x:v>
      </x:c>
      <x:c r="C177" s="2" t="s">
        <x:v>20</x:v>
      </x:c>
      <x:c r="D177" s="1" t="s">
        <x:v>20</x:v>
      </x:c>
      <x:c r="E177" s="1" t="s">
        <x:v>20</x:v>
      </x:c>
      <x:c r="F177" s="1" t="s">
        <x:v>216</x:v>
      </x:c>
      <x:c r="G177" s="1" t="s">
        <x:v>20</x:v>
      </x:c>
      <x:c r="H177" s="1" t="s">
        <x:v>217</x:v>
      </x:c>
      <x:c r="I177" s="1" t="s">
        <x:v>20</x:v>
      </x:c>
      <x:c r="J177" s="1" t="s">
        <x:v>20</x:v>
      </x:c>
      <x:c r="K177" s="1" t="s">
        <x:v>20</x:v>
      </x:c>
      <x:c r="L177" s="1" t="s">
        <x:v>20</x:v>
      </x:c>
      <x:c r="M177" s="1" t="s">
        <x:v>20</x:v>
      </x:c>
      <x:c r="N177" s="1" t="s">
        <x:v>20</x:v>
      </x:c>
      <x:c r="O177" s="1" t="s">
        <x:v>20</x:v>
      </x:c>
      <x:c r="P177" s="1" t="s">
        <x:v>20</x:v>
      </x:c>
      <x:c r="Q177" s="1" t="s">
        <x:v>20</x:v>
      </x:c>
    </x:row>
    <x:row r="178" spans="1:17">
      <x:c r="A178" s="1" t="s">
        <x:v>20</x:v>
      </x:c>
      <x:c r="B178" s="2" t="s">
        <x:v>20</x:v>
      </x:c>
      <x:c r="C178" s="2" t="s">
        <x:v>20</x:v>
      </x:c>
      <x:c r="D178" s="1" t="s">
        <x:v>20</x:v>
      </x:c>
      <x:c r="E178" s="1" t="s">
        <x:v>20</x:v>
      </x:c>
      <x:c r="F178" s="1" t="s">
        <x:v>20</x:v>
      </x:c>
      <x:c r="G178" s="1" t="s">
        <x:v>119</x:v>
      </x:c>
      <x:c r="H178" s="1" t="s">
        <x:v>20</x:v>
      </x:c>
      <x:c r="I178" s="1" t="s">
        <x:v>20</x:v>
      </x:c>
      <x:c r="J178" s="1" t="s">
        <x:v>20</x:v>
      </x:c>
      <x:c r="K178" s="1" t="s">
        <x:v>20</x:v>
      </x:c>
      <x:c r="L178" s="1" t="s">
        <x:v>20</x:v>
      </x:c>
      <x:c r="M178" s="1" t="s">
        <x:v>20</x:v>
      </x:c>
      <x:c r="N178" s="1" t="s">
        <x:v>20</x:v>
      </x:c>
      <x:c r="O178" s="1" t="s">
        <x:v>20</x:v>
      </x:c>
      <x:c r="P178" s="1" t="s">
        <x:v>20</x:v>
      </x:c>
      <x:c r="Q178" s="1" t="s">
        <x:v>20</x:v>
      </x:c>
    </x:row>
    <x:row r="179" spans="1:17">
      <x:c r="A179" s="1" t="s">
        <x:v>218</x:v>
      </x:c>
      <x:c r="B179" s="2" t="s">
        <x:v>18</x:v>
      </x:c>
      <x:c r="C179" s="2">
        <x:f>HYPERLINK("https://team-v23u.testit.software/projects/142/tests/557", "Копия поиск")</x:f>
      </x:c>
      <x:c r="D179" s="1" t="s">
        <x:v>19</x:v>
      </x:c>
      <x:c r="E179" s="1" t="s">
        <x:v>20</x:v>
      </x:c>
      <x:c r="F179" s="1" t="s">
        <x:v>20</x:v>
      </x:c>
      <x:c r="G179" s="1" t="s">
        <x:v>20</x:v>
      </x:c>
      <x:c r="H179" s="1" t="s">
        <x:v>20</x:v>
      </x:c>
      <x:c r="I179" s="1" t="s">
        <x:v>20</x:v>
      </x:c>
      <x:c r="J179" s="1" t="s">
        <x:v>20</x:v>
      </x:c>
      <x:c r="K179" s="1" t="s">
        <x:v>20</x:v>
      </x:c>
      <x:c r="L179" s="1" t="s">
        <x:v>21</x:v>
      </x:c>
      <x:c r="M179" s="1" t="s">
        <x:v>22</x:v>
      </x:c>
      <x:c r="N179" s="1" t="s">
        <x:v>219</x:v>
      </x:c>
      <x:c r="O179" s="1" t="s">
        <x:v>24</x:v>
      </x:c>
      <x:c r="P179" s="1" t="s">
        <x:v>30</x:v>
      </x:c>
      <x:c r="Q179" s="1" t="s">
        <x:v>20</x:v>
      </x:c>
    </x:row>
    <x:row r="180" spans="1:17">
      <x:c r="A180" s="1" t="s">
        <x:v>20</x:v>
      </x:c>
      <x:c r="B180" s="2" t="s">
        <x:v>20</x:v>
      </x:c>
      <x:c r="C180" s="2" t="s">
        <x:v>20</x:v>
      </x:c>
      <x:c r="D180" s="1" t="s">
        <x:v>20</x:v>
      </x:c>
      <x:c r="E180" s="1" t="s">
        <x:v>20</x:v>
      </x:c>
      <x:c r="F180" s="1" t="s">
        <x:v>26</x:v>
      </x:c>
      <x:c r="G180" s="1" t="s">
        <x:v>20</x:v>
      </x:c>
      <x:c r="H180" s="1" t="s">
        <x:v>27</x:v>
      </x:c>
      <x:c r="I180" s="1" t="s">
        <x:v>20</x:v>
      </x:c>
      <x:c r="J180" s="1" t="s">
        <x:v>20</x:v>
      </x:c>
      <x:c r="K180" s="1" t="s">
        <x:v>20</x:v>
      </x:c>
      <x:c r="L180" s="1" t="s">
        <x:v>20</x:v>
      </x:c>
      <x:c r="M180" s="1" t="s">
        <x:v>20</x:v>
      </x:c>
      <x:c r="N180" s="1" t="s">
        <x:v>20</x:v>
      </x:c>
      <x:c r="O180" s="1" t="s">
        <x:v>20</x:v>
      </x:c>
      <x:c r="P180" s="1" t="s">
        <x:v>20</x:v>
      </x:c>
      <x:c r="Q180" s="1" t="s">
        <x:v>20</x:v>
      </x:c>
    </x:row>
    <x:row r="181" spans="1:17">
      <x:c r="A181" s="1" t="s">
        <x:v>20</x:v>
      </x:c>
      <x:c r="B181" s="2" t="s">
        <x:v>20</x:v>
      </x:c>
      <x:c r="C181" s="2" t="s">
        <x:v>20</x:v>
      </x:c>
      <x:c r="D181" s="1" t="s">
        <x:v>20</x:v>
      </x:c>
      <x:c r="E181" s="1" t="s">
        <x:v>20</x:v>
      </x:c>
      <x:c r="F181" s="1" t="s">
        <x:v>131</x:v>
      </x:c>
      <x:c r="G181" s="1" t="s">
        <x:v>20</x:v>
      </x:c>
      <x:c r="H181" s="1" t="s">
        <x:v>132</x:v>
      </x:c>
      <x:c r="I181" s="1" t="s">
        <x:v>20</x:v>
      </x:c>
      <x:c r="J181" s="1" t="s">
        <x:v>20</x:v>
      </x:c>
      <x:c r="K181" s="1" t="s">
        <x:v>20</x:v>
      </x:c>
      <x:c r="L181" s="1" t="s">
        <x:v>20</x:v>
      </x:c>
      <x:c r="M181" s="1" t="s">
        <x:v>20</x:v>
      </x:c>
      <x:c r="N181" s="1" t="s">
        <x:v>20</x:v>
      </x:c>
      <x:c r="O181" s="1" t="s">
        <x:v>20</x:v>
      </x:c>
      <x:c r="P181" s="1" t="s">
        <x:v>20</x:v>
      </x:c>
      <x:c r="Q181" s="1" t="s">
        <x:v>20</x:v>
      </x:c>
    </x:row>
    <x:row r="182" spans="1:17">
      <x:c r="A182" s="1" t="s">
        <x:v>20</x:v>
      </x:c>
      <x:c r="B182" s="2" t="s">
        <x:v>20</x:v>
      </x:c>
      <x:c r="C182" s="2" t="s">
        <x:v>20</x:v>
      </x:c>
      <x:c r="D182" s="1" t="s">
        <x:v>20</x:v>
      </x:c>
      <x:c r="E182" s="1" t="s">
        <x:v>20</x:v>
      </x:c>
      <x:c r="F182" s="1" t="s">
        <x:v>220</x:v>
      </x:c>
      <x:c r="G182" s="1" t="s">
        <x:v>20</x:v>
      </x:c>
      <x:c r="H182" s="1" t="s">
        <x:v>221</x:v>
      </x:c>
      <x:c r="I182" s="1" t="s">
        <x:v>20</x:v>
      </x:c>
      <x:c r="J182" s="1" t="s">
        <x:v>20</x:v>
      </x:c>
      <x:c r="K182" s="1" t="s">
        <x:v>20</x:v>
      </x:c>
      <x:c r="L182" s="1" t="s">
        <x:v>20</x:v>
      </x:c>
      <x:c r="M182" s="1" t="s">
        <x:v>20</x:v>
      </x:c>
      <x:c r="N182" s="1" t="s">
        <x:v>20</x:v>
      </x:c>
      <x:c r="O182" s="1" t="s">
        <x:v>20</x:v>
      </x:c>
      <x:c r="P182" s="1" t="s">
        <x:v>20</x:v>
      </x:c>
      <x:c r="Q182" s="1" t="s">
        <x:v>20</x:v>
      </x:c>
    </x:row>
    <x:row r="183" spans="1:17">
      <x:c r="A183" s="1" t="s">
        <x:v>222</x:v>
      </x:c>
      <x:c r="B183" s="2" t="s">
        <x:v>18</x:v>
      </x:c>
      <x:c r="C183" s="2">
        <x:f>HYPERLINK("https://team-v23u.testit.software/projects/142/tests/558", "Копия каталог-категория")</x:f>
      </x:c>
      <x:c r="D183" s="1" t="s">
        <x:v>19</x:v>
      </x:c>
      <x:c r="E183" s="1" t="s">
        <x:v>20</x:v>
      </x:c>
      <x:c r="F183" s="1" t="s">
        <x:v>20</x:v>
      </x:c>
      <x:c r="G183" s="1" t="s">
        <x:v>20</x:v>
      </x:c>
      <x:c r="H183" s="1" t="s">
        <x:v>20</x:v>
      </x:c>
      <x:c r="I183" s="1" t="s">
        <x:v>20</x:v>
      </x:c>
      <x:c r="J183" s="1" t="s">
        <x:v>20</x:v>
      </x:c>
      <x:c r="K183" s="1" t="s">
        <x:v>20</x:v>
      </x:c>
      <x:c r="L183" s="1" t="s">
        <x:v>21</x:v>
      </x:c>
      <x:c r="M183" s="1" t="s">
        <x:v>22</x:v>
      </x:c>
      <x:c r="N183" s="1" t="s">
        <x:v>223</x:v>
      </x:c>
      <x:c r="O183" s="1" t="s">
        <x:v>24</x:v>
      </x:c>
      <x:c r="P183" s="1" t="s">
        <x:v>30</x:v>
      </x:c>
      <x:c r="Q183" s="1" t="s">
        <x:v>20</x:v>
      </x:c>
    </x:row>
    <x:row r="184" spans="1:17">
      <x:c r="A184" s="1" t="s">
        <x:v>20</x:v>
      </x:c>
      <x:c r="B184" s="2" t="s">
        <x:v>20</x:v>
      </x:c>
      <x:c r="C184" s="2" t="s">
        <x:v>20</x:v>
      </x:c>
      <x:c r="D184" s="1" t="s">
        <x:v>20</x:v>
      </x:c>
      <x:c r="E184" s="1" t="s">
        <x:v>20</x:v>
      </x:c>
      <x:c r="F184" s="1" t="s">
        <x:v>26</x:v>
      </x:c>
      <x:c r="G184" s="1" t="s">
        <x:v>20</x:v>
      </x:c>
      <x:c r="H184" s="1" t="s">
        <x:v>27</x:v>
      </x:c>
      <x:c r="I184" s="1" t="s">
        <x:v>20</x:v>
      </x:c>
      <x:c r="J184" s="1" t="s">
        <x:v>20</x:v>
      </x:c>
      <x:c r="K184" s="1" t="s">
        <x:v>20</x:v>
      </x:c>
      <x:c r="L184" s="1" t="s">
        <x:v>20</x:v>
      </x:c>
      <x:c r="M184" s="1" t="s">
        <x:v>20</x:v>
      </x:c>
      <x:c r="N184" s="1" t="s">
        <x:v>20</x:v>
      </x:c>
      <x:c r="O184" s="1" t="s">
        <x:v>20</x:v>
      </x:c>
      <x:c r="P184" s="1" t="s">
        <x:v>20</x:v>
      </x:c>
      <x:c r="Q184" s="1" t="s">
        <x:v>20</x:v>
      </x:c>
    </x:row>
    <x:row r="185" spans="1:17">
      <x:c r="A185" s="1" t="s">
        <x:v>20</x:v>
      </x:c>
      <x:c r="B185" s="2" t="s">
        <x:v>20</x:v>
      </x:c>
      <x:c r="C185" s="2" t="s">
        <x:v>20</x:v>
      </x:c>
      <x:c r="D185" s="1" t="s">
        <x:v>20</x:v>
      </x:c>
      <x:c r="E185" s="1" t="s">
        <x:v>20</x:v>
      </x:c>
      <x:c r="F185" s="1" t="s">
        <x:v>139</x:v>
      </x:c>
      <x:c r="G185" s="1" t="s">
        <x:v>20</x:v>
      </x:c>
      <x:c r="H185" s="1" t="s">
        <x:v>33</x:v>
      </x:c>
      <x:c r="I185" s="1" t="s">
        <x:v>20</x:v>
      </x:c>
      <x:c r="J185" s="1" t="s">
        <x:v>20</x:v>
      </x:c>
      <x:c r="K185" s="1" t="s">
        <x:v>20</x:v>
      </x:c>
      <x:c r="L185" s="1" t="s">
        <x:v>20</x:v>
      </x:c>
      <x:c r="M185" s="1" t="s">
        <x:v>20</x:v>
      </x:c>
      <x:c r="N185" s="1" t="s">
        <x:v>20</x:v>
      </x:c>
      <x:c r="O185" s="1" t="s">
        <x:v>20</x:v>
      </x:c>
      <x:c r="P185" s="1" t="s">
        <x:v>20</x:v>
      </x:c>
      <x:c r="Q185" s="1" t="s">
        <x:v>20</x:v>
      </x:c>
    </x:row>
    <x:row r="186" spans="1:17">
      <x:c r="A186" s="1" t="s">
        <x:v>20</x:v>
      </x:c>
      <x:c r="B186" s="2" t="s">
        <x:v>20</x:v>
      </x:c>
      <x:c r="C186" s="2" t="s">
        <x:v>20</x:v>
      </x:c>
      <x:c r="D186" s="1" t="s">
        <x:v>20</x:v>
      </x:c>
      <x:c r="E186" s="1" t="s">
        <x:v>20</x:v>
      </x:c>
      <x:c r="F186" s="1" t="s">
        <x:v>140</x:v>
      </x:c>
      <x:c r="G186" s="1" t="s">
        <x:v>20</x:v>
      </x:c>
      <x:c r="H186" s="1" t="s">
        <x:v>141</x:v>
      </x:c>
      <x:c r="I186" s="1" t="s">
        <x:v>20</x:v>
      </x:c>
      <x:c r="J186" s="1" t="s">
        <x:v>20</x:v>
      </x:c>
      <x:c r="K186" s="1" t="s">
        <x:v>20</x:v>
      </x:c>
      <x:c r="L186" s="1" t="s">
        <x:v>20</x:v>
      </x:c>
      <x:c r="M186" s="1" t="s">
        <x:v>20</x:v>
      </x:c>
      <x:c r="N186" s="1" t="s">
        <x:v>20</x:v>
      </x:c>
      <x:c r="O186" s="1" t="s">
        <x:v>20</x:v>
      </x:c>
      <x:c r="P186" s="1" t="s">
        <x:v>20</x:v>
      </x:c>
      <x:c r="Q186" s="1" t="s">
        <x:v>20</x:v>
      </x:c>
    </x:row>
    <x:row r="187" spans="1:17">
      <x:c r="A187" s="1" t="s">
        <x:v>20</x:v>
      </x:c>
      <x:c r="B187" s="2" t="s">
        <x:v>20</x:v>
      </x:c>
      <x:c r="C187" s="2" t="s">
        <x:v>20</x:v>
      </x:c>
      <x:c r="D187" s="1" t="s">
        <x:v>20</x:v>
      </x:c>
      <x:c r="E187" s="1" t="s">
        <x:v>20</x:v>
      </x:c>
      <x:c r="F187" s="1" t="s">
        <x:v>142</x:v>
      </x:c>
      <x:c r="G187" s="1" t="s">
        <x:v>20</x:v>
      </x:c>
      <x:c r="H187" s="1" t="s">
        <x:v>143</x:v>
      </x:c>
      <x:c r="I187" s="1" t="s">
        <x:v>20</x:v>
      </x:c>
      <x:c r="J187" s="1" t="s">
        <x:v>20</x:v>
      </x:c>
      <x:c r="K187" s="1" t="s">
        <x:v>20</x:v>
      </x:c>
      <x:c r="L187" s="1" t="s">
        <x:v>20</x:v>
      </x:c>
      <x:c r="M187" s="1" t="s">
        <x:v>20</x:v>
      </x:c>
      <x:c r="N187" s="1" t="s">
        <x:v>20</x:v>
      </x:c>
      <x:c r="O187" s="1" t="s">
        <x:v>20</x:v>
      </x:c>
      <x:c r="P187" s="1" t="s">
        <x:v>20</x:v>
      </x:c>
      <x:c r="Q187" s="1" t="s">
        <x:v>20</x:v>
      </x:c>
    </x:row>
    <x:row r="188" spans="1:17">
      <x:c r="A188" s="1" t="s">
        <x:v>20</x:v>
      </x:c>
      <x:c r="B188" s="2" t="s">
        <x:v>20</x:v>
      </x:c>
      <x:c r="C188" s="2" t="s">
        <x:v>20</x:v>
      </x:c>
      <x:c r="D188" s="1" t="s">
        <x:v>20</x:v>
      </x:c>
      <x:c r="E188" s="1" t="s">
        <x:v>20</x:v>
      </x:c>
      <x:c r="F188" s="1" t="s">
        <x:v>224</x:v>
      </x:c>
      <x:c r="G188" s="1" t="s">
        <x:v>20</x:v>
      </x:c>
      <x:c r="H188" s="1" t="s">
        <x:v>225</x:v>
      </x:c>
      <x:c r="I188" s="1" t="s">
        <x:v>20</x:v>
      </x:c>
      <x:c r="J188" s="1" t="s">
        <x:v>20</x:v>
      </x:c>
      <x:c r="K188" s="1" t="s">
        <x:v>20</x:v>
      </x:c>
      <x:c r="L188" s="1" t="s">
        <x:v>20</x:v>
      </x:c>
      <x:c r="M188" s="1" t="s">
        <x:v>20</x:v>
      </x:c>
      <x:c r="N188" s="1" t="s">
        <x:v>20</x:v>
      </x:c>
      <x:c r="O188" s="1" t="s">
        <x:v>20</x:v>
      </x:c>
      <x:c r="P188" s="1" t="s">
        <x:v>20</x:v>
      </x:c>
      <x:c r="Q188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